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ks\DnD-Homebrew\"/>
    </mc:Choice>
  </mc:AlternateContent>
  <xr:revisionPtr revIDLastSave="0" documentId="13_ncr:1_{0366B8D5-34C7-4BF6-8C74-F87B6D60011C}" xr6:coauthVersionLast="47" xr6:coauthVersionMax="47" xr10:uidLastSave="{00000000-0000-0000-0000-000000000000}"/>
  <bookViews>
    <workbookView xWindow="-120" yWindow="-120" windowWidth="29040" windowHeight="15720" firstSheet="6" activeTab="9" xr2:uid="{A55BF991-A51A-40F9-BCC2-CFBADEB3BEC2}"/>
  </bookViews>
  <sheets>
    <sheet name="Sheet1" sheetId="1" r:id="rId1"/>
    <sheet name="Vampires" sheetId="5" r:id="rId2"/>
    <sheet name="Vampires (2)" sheetId="3" r:id="rId3"/>
    <sheet name="Vampires (1)" sheetId="4" r:id="rId4"/>
    <sheet name="FebContent(Knights)" sheetId="2" r:id="rId5"/>
    <sheet name="FebTimeTracker" sheetId="6" r:id="rId6"/>
    <sheet name="MarchContent(Desert)" sheetId="7" r:id="rId7"/>
    <sheet name="MayContent(FelDwarves)" sheetId="10" r:id="rId8"/>
    <sheet name="AugustContent(EmpireSoldiers)" sheetId="11" r:id="rId9"/>
    <sheet name="OctoberContent(UndeadMinions)" sheetId="12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3" i="12" l="1"/>
  <c r="M13" i="12" l="1"/>
  <c r="M12" i="10"/>
  <c r="R13" i="12"/>
  <c r="G50" i="12"/>
  <c r="G49" i="12"/>
  <c r="G43" i="12"/>
  <c r="G44" i="12"/>
  <c r="G42" i="12"/>
  <c r="G2" i="12"/>
  <c r="H51" i="12"/>
  <c r="G48" i="12"/>
  <c r="G47" i="12"/>
  <c r="G46" i="12"/>
  <c r="G45" i="12"/>
  <c r="G41" i="12"/>
  <c r="G40" i="12"/>
  <c r="H37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1" i="12"/>
  <c r="G9" i="12"/>
  <c r="G8" i="12"/>
  <c r="G7" i="12"/>
  <c r="G6" i="12"/>
  <c r="G5" i="12"/>
  <c r="G4" i="12"/>
  <c r="G3" i="12"/>
  <c r="M11" i="11"/>
  <c r="G33" i="11"/>
  <c r="G31" i="11"/>
  <c r="G32" i="11"/>
  <c r="G30" i="11"/>
  <c r="G29" i="11"/>
  <c r="G28" i="11"/>
  <c r="G27" i="11"/>
  <c r="G26" i="11"/>
  <c r="G25" i="11"/>
  <c r="G22" i="11"/>
  <c r="G23" i="11"/>
  <c r="G24" i="11"/>
  <c r="G20" i="11"/>
  <c r="G21" i="11"/>
  <c r="G19" i="11"/>
  <c r="H47" i="11"/>
  <c r="G44" i="11"/>
  <c r="G43" i="11"/>
  <c r="G42" i="11"/>
  <c r="G41" i="11"/>
  <c r="G40" i="11"/>
  <c r="G39" i="11"/>
  <c r="H36" i="11"/>
  <c r="G18" i="11"/>
  <c r="G17" i="11"/>
  <c r="G16" i="11"/>
  <c r="G15" i="11"/>
  <c r="G14" i="11"/>
  <c r="G13" i="11"/>
  <c r="G12" i="11"/>
  <c r="O11" i="11"/>
  <c r="G11" i="11"/>
  <c r="G10" i="11"/>
  <c r="G9" i="11"/>
  <c r="G8" i="11"/>
  <c r="G7" i="11"/>
  <c r="G6" i="11"/>
  <c r="G5" i="11"/>
  <c r="G4" i="11"/>
  <c r="G3" i="11"/>
  <c r="G2" i="11"/>
  <c r="G36" i="11" s="1"/>
  <c r="O11" i="10"/>
  <c r="O12" i="10" s="1"/>
  <c r="G51" i="12" l="1"/>
  <c r="H52" i="12"/>
  <c r="G37" i="12"/>
  <c r="H48" i="11"/>
  <c r="G47" i="11"/>
  <c r="M11" i="10"/>
  <c r="G20" i="10"/>
  <c r="G14" i="10"/>
  <c r="G15" i="10"/>
  <c r="G16" i="10"/>
  <c r="G17" i="10"/>
  <c r="G18" i="10"/>
  <c r="G19" i="10"/>
  <c r="G12" i="10"/>
  <c r="G13" i="10"/>
  <c r="G11" i="10"/>
  <c r="G3" i="10"/>
  <c r="G4" i="10"/>
  <c r="G5" i="10"/>
  <c r="G6" i="10"/>
  <c r="G7" i="10"/>
  <c r="G8" i="10"/>
  <c r="G9" i="10"/>
  <c r="G10" i="10"/>
  <c r="G2" i="10"/>
  <c r="H35" i="10"/>
  <c r="G32" i="10"/>
  <c r="G31" i="10"/>
  <c r="G30" i="10"/>
  <c r="G29" i="10"/>
  <c r="G28" i="10"/>
  <c r="G27" i="10"/>
  <c r="H24" i="10"/>
  <c r="H36" i="10" s="1"/>
  <c r="G52" i="12" l="1"/>
  <c r="G48" i="11"/>
  <c r="G24" i="10"/>
  <c r="G35" i="10"/>
  <c r="G42" i="7"/>
  <c r="G41" i="7"/>
  <c r="G40" i="7"/>
  <c r="G62" i="7"/>
  <c r="G55" i="7"/>
  <c r="G56" i="7"/>
  <c r="G57" i="7"/>
  <c r="G58" i="7"/>
  <c r="G59" i="7"/>
  <c r="G60" i="7"/>
  <c r="G61" i="7"/>
  <c r="G2" i="7"/>
  <c r="G54" i="7"/>
  <c r="G52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3" i="7"/>
  <c r="G44" i="7"/>
  <c r="G45" i="7"/>
  <c r="G46" i="7"/>
  <c r="G47" i="7"/>
  <c r="G48" i="7"/>
  <c r="G49" i="7"/>
  <c r="G50" i="7"/>
  <c r="G51" i="7"/>
  <c r="G53" i="7"/>
  <c r="H74" i="7"/>
  <c r="G71" i="7"/>
  <c r="G70" i="7"/>
  <c r="G69" i="7"/>
  <c r="G68" i="7"/>
  <c r="G67" i="7"/>
  <c r="G66" i="7"/>
  <c r="H63" i="7"/>
  <c r="G11" i="7"/>
  <c r="G10" i="7"/>
  <c r="G9" i="7"/>
  <c r="G8" i="7"/>
  <c r="G7" i="7"/>
  <c r="G6" i="7"/>
  <c r="G5" i="7"/>
  <c r="G4" i="7"/>
  <c r="G3" i="7"/>
  <c r="G2" i="5"/>
  <c r="G3" i="5"/>
  <c r="G4" i="5"/>
  <c r="G5" i="5"/>
  <c r="C6" i="5"/>
  <c r="G6" i="5"/>
  <c r="C7" i="5"/>
  <c r="G7" i="5"/>
  <c r="C8" i="5"/>
  <c r="G8" i="5"/>
  <c r="C9" i="5"/>
  <c r="G9" i="5"/>
  <c r="C10" i="5"/>
  <c r="G10" i="5" s="1"/>
  <c r="C11" i="5"/>
  <c r="G11" i="5"/>
  <c r="C12" i="5"/>
  <c r="G12" i="5" s="1"/>
  <c r="G16" i="5"/>
  <c r="G17" i="5"/>
  <c r="G18" i="5"/>
  <c r="G19" i="5"/>
  <c r="G20" i="5"/>
  <c r="G21" i="5"/>
  <c r="G22" i="5"/>
  <c r="G24" i="5" s="1"/>
  <c r="G23" i="5"/>
  <c r="G2" i="4"/>
  <c r="G3" i="4"/>
  <c r="G5" i="4"/>
  <c r="C6" i="4"/>
  <c r="G6" i="4" s="1"/>
  <c r="G8" i="4"/>
  <c r="C11" i="4"/>
  <c r="G11" i="4" s="1"/>
  <c r="G16" i="4"/>
  <c r="G17" i="4"/>
  <c r="G18" i="4"/>
  <c r="G19" i="4"/>
  <c r="G20" i="4"/>
  <c r="G24" i="4" s="1"/>
  <c r="G2" i="3"/>
  <c r="G3" i="3"/>
  <c r="G4" i="3"/>
  <c r="G5" i="3"/>
  <c r="G6" i="3"/>
  <c r="C7" i="3"/>
  <c r="G7" i="3" s="1"/>
  <c r="C8" i="3"/>
  <c r="G8" i="3"/>
  <c r="C9" i="3"/>
  <c r="G9" i="3"/>
  <c r="C10" i="3"/>
  <c r="G10" i="3"/>
  <c r="G11" i="3"/>
  <c r="C12" i="3"/>
  <c r="G12" i="3" s="1"/>
  <c r="G16" i="3"/>
  <c r="G17" i="3"/>
  <c r="G18" i="3"/>
  <c r="G19" i="3"/>
  <c r="G24" i="3" s="1"/>
  <c r="G20" i="3"/>
  <c r="G21" i="3"/>
  <c r="G22" i="3"/>
  <c r="G23" i="3"/>
  <c r="G2" i="2"/>
  <c r="G13" i="2" s="1"/>
  <c r="G3" i="2"/>
  <c r="G4" i="2"/>
  <c r="G5" i="2"/>
  <c r="G6" i="2"/>
  <c r="G7" i="2"/>
  <c r="G8" i="2"/>
  <c r="G9" i="2"/>
  <c r="G10" i="2"/>
  <c r="G11" i="2"/>
  <c r="G12" i="2"/>
  <c r="H13" i="2"/>
  <c r="G16" i="2"/>
  <c r="G19" i="2"/>
  <c r="G20" i="2"/>
  <c r="G17" i="2"/>
  <c r="G18" i="2"/>
  <c r="G21" i="2"/>
  <c r="H24" i="2"/>
  <c r="G36" i="10" l="1"/>
  <c r="G63" i="7"/>
  <c r="H75" i="7"/>
  <c r="G74" i="7"/>
  <c r="H25" i="2"/>
  <c r="G24" i="2"/>
  <c r="G13" i="5"/>
  <c r="G25" i="5" s="1"/>
  <c r="G13" i="4"/>
  <c r="G25" i="4" s="1"/>
  <c r="G13" i="3"/>
  <c r="G25" i="3" s="1"/>
  <c r="G25" i="2"/>
  <c r="G75" i="7" l="1"/>
</calcChain>
</file>

<file path=xl/sharedStrings.xml><?xml version="1.0" encoding="utf-8"?>
<sst xmlns="http://schemas.openxmlformats.org/spreadsheetml/2006/main" count="456" uniqueCount="267">
  <si>
    <t>Heated Desk Pad</t>
  </si>
  <si>
    <t>Total Cost</t>
  </si>
  <si>
    <t>Hand Warmers</t>
  </si>
  <si>
    <t>Total Patron Cost</t>
  </si>
  <si>
    <t>Fingerless Gloves</t>
  </si>
  <si>
    <t>Docking Station</t>
  </si>
  <si>
    <t>GPU</t>
  </si>
  <si>
    <t>The Black Knight</t>
  </si>
  <si>
    <t>Vivo</t>
  </si>
  <si>
    <t>Verek's Reavers</t>
  </si>
  <si>
    <t>ClickUp</t>
  </si>
  <si>
    <t>Black Knights</t>
  </si>
  <si>
    <t>Chat GPT</t>
  </si>
  <si>
    <t>Wight King</t>
  </si>
  <si>
    <t>RAM</t>
  </si>
  <si>
    <t>Skeletal Griffon</t>
  </si>
  <si>
    <t>2TB SSD</t>
  </si>
  <si>
    <t>Barded Skeletal Steed</t>
  </si>
  <si>
    <t>2TB External SSD</t>
  </si>
  <si>
    <t>Patron Content</t>
  </si>
  <si>
    <t>Computer Monitor</t>
  </si>
  <si>
    <t>Total Free Cost</t>
  </si>
  <si>
    <t>Hippogryph</t>
  </si>
  <si>
    <t>Imperial Griffon</t>
  </si>
  <si>
    <t>Demigriffon</t>
  </si>
  <si>
    <t>Imperial Pegasus</t>
  </si>
  <si>
    <t>Meals</t>
  </si>
  <si>
    <t>Stronger Warhorse</t>
  </si>
  <si>
    <t>Knightly Traits</t>
  </si>
  <si>
    <t>Five Levels of Knight Stat Blocks</t>
  </si>
  <si>
    <t>Points</t>
  </si>
  <si>
    <t>Mythic Form</t>
  </si>
  <si>
    <t>Regional Effect</t>
  </si>
  <si>
    <t>Lair Action</t>
  </si>
  <si>
    <t>Base Cost</t>
  </si>
  <si>
    <t>Number of Traits/Spells</t>
  </si>
  <si>
    <t>Free Content</t>
  </si>
  <si>
    <t>Coven Throne</t>
  </si>
  <si>
    <t>Varghulf + Boss</t>
  </si>
  <si>
    <t>Varghiests + RoR</t>
  </si>
  <si>
    <t>Dark Magic</t>
  </si>
  <si>
    <t>Lahmia Traits</t>
  </si>
  <si>
    <t>Strigoi Traits</t>
  </si>
  <si>
    <t>Blood Dragon Traits</t>
  </si>
  <si>
    <t>Von Carstein Traits</t>
  </si>
  <si>
    <t>Trait Cost</t>
  </si>
  <si>
    <t>Terrogheists</t>
  </si>
  <si>
    <t>Zombie Dragons</t>
  </si>
  <si>
    <t>Abyssal Terrors</t>
  </si>
  <si>
    <t>Hellsteeds</t>
  </si>
  <si>
    <t>Nightmares</t>
  </si>
  <si>
    <t xml:space="preserve">Generic Traits </t>
  </si>
  <si>
    <t>Other Necharch Traits</t>
  </si>
  <si>
    <t>Vampire Lore Traits</t>
  </si>
  <si>
    <t>Lore of Vampires</t>
  </si>
  <si>
    <t>Vampires</t>
  </si>
  <si>
    <t>Original Cost: 125</t>
  </si>
  <si>
    <t>Non-Lore Vampire Traits</t>
  </si>
  <si>
    <t>Task</t>
  </si>
  <si>
    <t>Knightly Mounts</t>
  </si>
  <si>
    <t>Task Type</t>
  </si>
  <si>
    <t>Document Setup</t>
  </si>
  <si>
    <t>Content Review</t>
  </si>
  <si>
    <t>Art Layout</t>
  </si>
  <si>
    <t>Post to Patreon</t>
  </si>
  <si>
    <t>Misc. Revisions</t>
  </si>
  <si>
    <t>Barrow Lord &amp; Skeletal Griffon</t>
  </si>
  <si>
    <t>February Poll</t>
  </si>
  <si>
    <t>Determine Poll</t>
  </si>
  <si>
    <t>Undead Knight Compilation</t>
  </si>
  <si>
    <t>Post to Reddit</t>
  </si>
  <si>
    <t>Time Spent (Minutes)</t>
  </si>
  <si>
    <t>Date</t>
  </si>
  <si>
    <t>Camel</t>
  </si>
  <si>
    <t>Giant Camel</t>
  </si>
  <si>
    <t>Mummy Camel</t>
  </si>
  <si>
    <t>Jackel</t>
  </si>
  <si>
    <t>Vulture</t>
  </si>
  <si>
    <t>Giant Vulture</t>
  </si>
  <si>
    <t>Divine Vulture</t>
  </si>
  <si>
    <t>Jackelwere</t>
  </si>
  <si>
    <t>Jackelwere Elite Illusionist</t>
  </si>
  <si>
    <t>Jackelwere Death Cleric</t>
  </si>
  <si>
    <t>Tiny Snakes</t>
  </si>
  <si>
    <t>Snake Swarms</t>
  </si>
  <si>
    <t>Medium Snakes</t>
  </si>
  <si>
    <t>Rattlesnake Hydra</t>
  </si>
  <si>
    <t>Elemental Glass Snake</t>
  </si>
  <si>
    <t>Tiny Scorpions</t>
  </si>
  <si>
    <t>Scorpion Swarms</t>
  </si>
  <si>
    <t>Large Scorpions</t>
  </si>
  <si>
    <t>Scorpion Folk</t>
  </si>
  <si>
    <t>Scorpion Folk Youngling</t>
  </si>
  <si>
    <t>Scorpion Folk Warlord</t>
  </si>
  <si>
    <t>Gila Monster</t>
  </si>
  <si>
    <t>Giant Gila Monster</t>
  </si>
  <si>
    <t>Armadillo</t>
  </si>
  <si>
    <t>Giant Armadillo</t>
  </si>
  <si>
    <t>Glyptodon</t>
  </si>
  <si>
    <t>Earth Elemental Armadillo</t>
  </si>
  <si>
    <t>Road Runner</t>
  </si>
  <si>
    <t>Air Elemental Road Runner</t>
  </si>
  <si>
    <t>Giant Horned Toad</t>
  </si>
  <si>
    <t>Giant Thorny Devil</t>
  </si>
  <si>
    <t>Springing Cactus Ball</t>
  </si>
  <si>
    <t xml:space="preserve">Animated Cactus </t>
  </si>
  <si>
    <t>Animated Cactus 2</t>
  </si>
  <si>
    <t>Tumbleweed Wrangler</t>
  </si>
  <si>
    <t>Mongolian Death Worm</t>
  </si>
  <si>
    <t>Mummified Sand Crocodile</t>
  </si>
  <si>
    <t>Giant Chameleon</t>
  </si>
  <si>
    <t>Giant Dung Beetle</t>
  </si>
  <si>
    <t>Ooze Beetle</t>
  </si>
  <si>
    <t>Divine Dung Beetle</t>
  </si>
  <si>
    <t>Scarab Swarm</t>
  </si>
  <si>
    <t>Giant Electric Scarab</t>
  </si>
  <si>
    <t>Locust Swarm</t>
  </si>
  <si>
    <t>Locust Summoning Fiend</t>
  </si>
  <si>
    <t>Tortoise</t>
  </si>
  <si>
    <t>Giant Tortoise</t>
  </si>
  <si>
    <t>Demiplane Tortoise</t>
  </si>
  <si>
    <t>Ammit</t>
  </si>
  <si>
    <t>Serpopard</t>
  </si>
  <si>
    <t>Camel Form</t>
  </si>
  <si>
    <t>Venomous Snake From</t>
  </si>
  <si>
    <t>Road Runner Form</t>
  </si>
  <si>
    <t>Scorpion Form</t>
  </si>
  <si>
    <t>Vulture Form</t>
  </si>
  <si>
    <t>Tortoise Form</t>
  </si>
  <si>
    <t>Wurm Form</t>
  </si>
  <si>
    <t>New Desert Spells (2)</t>
  </si>
  <si>
    <t>Giant Ant Lion</t>
  </si>
  <si>
    <t>Giant Hell Ant Lion</t>
  </si>
  <si>
    <t>Giant Wind Scorpion</t>
  </si>
  <si>
    <t>Scorpions</t>
  </si>
  <si>
    <t>Vultures</t>
  </si>
  <si>
    <t>Overland Travel</t>
  </si>
  <si>
    <t>Armadillos</t>
  </si>
  <si>
    <t>Giant Wind Scorpions</t>
  </si>
  <si>
    <t>Giant Ant Lions</t>
  </si>
  <si>
    <t>Locusts</t>
  </si>
  <si>
    <t>Desert Druid</t>
  </si>
  <si>
    <t>Animated Cacti</t>
  </si>
  <si>
    <t>Bonus Theme</t>
  </si>
  <si>
    <t>Camels</t>
  </si>
  <si>
    <t>Cost</t>
  </si>
  <si>
    <t>March</t>
  </si>
  <si>
    <t>April</t>
  </si>
  <si>
    <t>Votes</t>
  </si>
  <si>
    <t>Desert Spells</t>
  </si>
  <si>
    <t>Laborers</t>
  </si>
  <si>
    <t>Hobgoblin Sneaky Git</t>
  </si>
  <si>
    <t>Hobgoblin Cutthroat</t>
  </si>
  <si>
    <t>Hobgoblin Archer</t>
  </si>
  <si>
    <t>Wolf Riders + RoR</t>
  </si>
  <si>
    <t>Hobgoblin Khan</t>
  </si>
  <si>
    <t>Magic Items</t>
  </si>
  <si>
    <t>Fel Dwarf Magic Items</t>
  </si>
  <si>
    <t>Fel Dwarf Spells</t>
  </si>
  <si>
    <t>Gordaz Backstabber</t>
  </si>
  <si>
    <t>Drazhoath The Ashen</t>
  </si>
  <si>
    <t>Dominator Engine Maces</t>
  </si>
  <si>
    <t>Dominator Engine Immolator Cannon</t>
  </si>
  <si>
    <t>Harradin</t>
  </si>
  <si>
    <t>Ashen Elder</t>
  </si>
  <si>
    <t>Young Magma Dragon</t>
  </si>
  <si>
    <t>Magma Dragon Wyrmling</t>
  </si>
  <si>
    <t>Adult Magma Dragon</t>
  </si>
  <si>
    <t>Ancient Magma Dragon</t>
  </si>
  <si>
    <t>Urak Taar</t>
  </si>
  <si>
    <t>May</t>
  </si>
  <si>
    <t>Hobgoblins Part 1</t>
  </si>
  <si>
    <t>Spells</t>
  </si>
  <si>
    <t>Total:</t>
  </si>
  <si>
    <t>Backstabber</t>
  </si>
  <si>
    <t>Hogoblins Part 2</t>
  </si>
  <si>
    <t>Harradin &amp; Elder</t>
  </si>
  <si>
    <t>Dominator Engines</t>
  </si>
  <si>
    <t>Magma Dragons</t>
  </si>
  <si>
    <t xml:space="preserve">                    </t>
  </si>
  <si>
    <t>Hydras (Free)</t>
  </si>
  <si>
    <t>Hydras (Patron Exclusive)</t>
  </si>
  <si>
    <t>Desert Druid Carry Over</t>
  </si>
  <si>
    <t>Captain</t>
  </si>
  <si>
    <t>General</t>
  </si>
  <si>
    <t>Grand General</t>
  </si>
  <si>
    <t>Spearmen</t>
  </si>
  <si>
    <t>Spearmen: Grundel's Defenders</t>
  </si>
  <si>
    <t>Spearmen: Eldred's Guard</t>
  </si>
  <si>
    <t>Swordsmen</t>
  </si>
  <si>
    <t>Swordsmen: Sigmar's Sons</t>
  </si>
  <si>
    <t>Swordsmen: Swords of Ulric</t>
  </si>
  <si>
    <t>Halberdiers</t>
  </si>
  <si>
    <t>Halberdiers: Nordland Mariners</t>
  </si>
  <si>
    <t>Crossbowmen</t>
  </si>
  <si>
    <t>Crossbowmen: Stir River Patrol</t>
  </si>
  <si>
    <t>Handgunners</t>
  </si>
  <si>
    <t>Handgunners: The Silver Bullets</t>
  </si>
  <si>
    <t>Handgunners: Gunderman's Surefires</t>
  </si>
  <si>
    <t>Hochland Longrifles</t>
  </si>
  <si>
    <t>Hochland Longrifles: Hergig Jeagercorps</t>
  </si>
  <si>
    <t>Archers</t>
  </si>
  <si>
    <t>Archers: Deathjacks</t>
  </si>
  <si>
    <t>Greatswords</t>
  </si>
  <si>
    <t>Greatswords: Carroburg Greatswords</t>
  </si>
  <si>
    <t>Free Company Militia</t>
  </si>
  <si>
    <t>Free Company Militia: Stirland's Revenge</t>
  </si>
  <si>
    <t>Hans Von Lowenhacke</t>
  </si>
  <si>
    <t>August</t>
  </si>
  <si>
    <t>September</t>
  </si>
  <si>
    <t>Simple Melee Soldiers</t>
  </si>
  <si>
    <t>Archers &amp; Crossbowmen</t>
  </si>
  <si>
    <t>Bonus Theme (Patron Exclusive)</t>
  </si>
  <si>
    <t>Bonus Theme (Free)</t>
  </si>
  <si>
    <t>Longrifles</t>
  </si>
  <si>
    <t>Pistoliers</t>
  </si>
  <si>
    <t>Pistoliers: Noble Sons Abroad</t>
  </si>
  <si>
    <t>Outriders</t>
  </si>
  <si>
    <t>Outriders (Grenade Launchers)</t>
  </si>
  <si>
    <t>Outriders (Grenade Launchers): The Bordermen</t>
  </si>
  <si>
    <t>The Green Knight</t>
  </si>
  <si>
    <t xml:space="preserve">Outriders </t>
  </si>
  <si>
    <t>Added Extra Halerdier</t>
  </si>
  <si>
    <t>Added Extra Archer &amp; Crossbowman</t>
  </si>
  <si>
    <t>Zombie RoR (The Tithe)</t>
  </si>
  <si>
    <t>Skeleton</t>
  </si>
  <si>
    <t>Skeleton RoR</t>
  </si>
  <si>
    <t>Ghoul RoR</t>
  </si>
  <si>
    <t>Grave Guard</t>
  </si>
  <si>
    <t>Grave Guard (RoR)</t>
  </si>
  <si>
    <t>Cairn Wraith</t>
  </si>
  <si>
    <t>Hex Wraiths</t>
  </si>
  <si>
    <t>Hex Wraiths (RoR)</t>
  </si>
  <si>
    <t xml:space="preserve">Fel Bats </t>
  </si>
  <si>
    <t>Dire Wolves</t>
  </si>
  <si>
    <t>Dire Wolves (RoR)</t>
  </si>
  <si>
    <t>Crypt Horrors</t>
  </si>
  <si>
    <t>Corpse Cart</t>
  </si>
  <si>
    <t>Mortis Engine</t>
  </si>
  <si>
    <t>Black Coach</t>
  </si>
  <si>
    <t>Spirit Host</t>
  </si>
  <si>
    <t>Banshee</t>
  </si>
  <si>
    <t>October</t>
  </si>
  <si>
    <t>November</t>
  </si>
  <si>
    <t>Mourngul</t>
  </si>
  <si>
    <t>Mourngul (RoR)</t>
  </si>
  <si>
    <t>Breath of Darkness</t>
  </si>
  <si>
    <t>Soul Stealer</t>
  </si>
  <si>
    <t>Abyssal Swarm</t>
  </si>
  <si>
    <t>Dark Riders</t>
  </si>
  <si>
    <t>Harbinger</t>
  </si>
  <si>
    <t>Morghast Harbingers</t>
  </si>
  <si>
    <t>Morghast Archai</t>
  </si>
  <si>
    <t>Morghast Archai (RoR)</t>
  </si>
  <si>
    <t>December</t>
  </si>
  <si>
    <t>Skeletons</t>
  </si>
  <si>
    <t>Zombies</t>
  </si>
  <si>
    <t>Ghouls &amp; Crypt Horrors</t>
  </si>
  <si>
    <t>Morngul</t>
  </si>
  <si>
    <t>Morghasts</t>
  </si>
  <si>
    <t>Wraiths</t>
  </si>
  <si>
    <t>Fel Bats</t>
  </si>
  <si>
    <t>Racial Traits For NPCs</t>
  </si>
  <si>
    <t>July</t>
  </si>
  <si>
    <t>Generals Start</t>
  </si>
  <si>
    <t>Generals Finish</t>
  </si>
  <si>
    <t>Scope Creep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</si>
</sst>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2DD2-B275-43B4-8CBE-3F025C0AACE6}">
  <dimension ref="A1:B22"/>
  <sheetViews>
    <sheetView workbookViewId="0">
      <selection activeCell="G19" sqref="G19"/>
    </sheetView>
  </sheetViews>
  <sheetFormatPr defaultRowHeight="14.5" x14ac:dyDescent="0.35"/>
  <cols>
    <col min="2" max="2" width="16.54296875" bestFit="1" customWidth="1"/>
  </cols>
  <sheetData>
    <row r="1" spans="1:2" x14ac:dyDescent="0.35">
      <c r="A1" s="1">
        <v>27.35</v>
      </c>
      <c r="B1" s="18" t="s">
        <v>26</v>
      </c>
    </row>
    <row r="2" spans="1:2" x14ac:dyDescent="0.35">
      <c r="A2" s="1">
        <v>39.24</v>
      </c>
      <c r="B2" s="18"/>
    </row>
    <row r="3" spans="1:2" x14ac:dyDescent="0.35">
      <c r="A3" s="1">
        <v>15.3</v>
      </c>
      <c r="B3" s="18"/>
    </row>
    <row r="4" spans="1:2" x14ac:dyDescent="0.35">
      <c r="A4" s="1">
        <v>43.18</v>
      </c>
      <c r="B4" s="18"/>
    </row>
    <row r="5" spans="1:2" x14ac:dyDescent="0.35">
      <c r="A5" s="1">
        <v>49.9</v>
      </c>
      <c r="B5" s="18"/>
    </row>
    <row r="6" spans="1:2" x14ac:dyDescent="0.35">
      <c r="A6" s="1">
        <v>42.26</v>
      </c>
      <c r="B6" s="18"/>
    </row>
    <row r="7" spans="1:2" x14ac:dyDescent="0.35">
      <c r="A7" s="1">
        <v>72.63</v>
      </c>
      <c r="B7" s="18"/>
    </row>
    <row r="8" spans="1:2" x14ac:dyDescent="0.35">
      <c r="A8" s="1">
        <v>65.540000000000006</v>
      </c>
      <c r="B8" s="18"/>
    </row>
    <row r="9" spans="1:2" x14ac:dyDescent="0.35">
      <c r="A9" s="1">
        <v>49.93</v>
      </c>
      <c r="B9" s="18"/>
    </row>
    <row r="10" spans="1:2" x14ac:dyDescent="0.35">
      <c r="A10" s="1">
        <v>56.15</v>
      </c>
      <c r="B10" s="18"/>
    </row>
    <row r="11" spans="1:2" x14ac:dyDescent="0.35">
      <c r="A11" s="1">
        <v>1179.68</v>
      </c>
      <c r="B11" s="1" t="s">
        <v>20</v>
      </c>
    </row>
    <row r="12" spans="1:2" x14ac:dyDescent="0.35">
      <c r="A12" s="1">
        <v>353.91</v>
      </c>
      <c r="B12" s="1" t="s">
        <v>18</v>
      </c>
    </row>
    <row r="13" spans="1:2" x14ac:dyDescent="0.35">
      <c r="A13" s="1">
        <v>235.94</v>
      </c>
      <c r="B13" s="1" t="s">
        <v>16</v>
      </c>
    </row>
    <row r="14" spans="1:2" x14ac:dyDescent="0.35">
      <c r="A14" s="1">
        <v>622.04</v>
      </c>
      <c r="B14" s="1" t="s">
        <v>14</v>
      </c>
    </row>
    <row r="15" spans="1:2" x14ac:dyDescent="0.35">
      <c r="A15" s="1">
        <v>240</v>
      </c>
      <c r="B15" s="1" t="s">
        <v>12</v>
      </c>
    </row>
    <row r="16" spans="1:2" x14ac:dyDescent="0.35">
      <c r="A16" s="1">
        <v>252</v>
      </c>
      <c r="B16" s="1" t="s">
        <v>10</v>
      </c>
    </row>
    <row r="17" spans="1:2" x14ac:dyDescent="0.35">
      <c r="A17" s="1">
        <v>117.95</v>
      </c>
      <c r="B17" s="1" t="s">
        <v>8</v>
      </c>
    </row>
    <row r="18" spans="1:2" x14ac:dyDescent="0.35">
      <c r="A18" s="1">
        <v>804.34</v>
      </c>
      <c r="B18" s="1" t="s">
        <v>6</v>
      </c>
    </row>
    <row r="19" spans="1:2" x14ac:dyDescent="0.35">
      <c r="A19" s="1">
        <v>57.9</v>
      </c>
      <c r="B19" s="1" t="s">
        <v>5</v>
      </c>
    </row>
    <row r="20" spans="1:2" x14ac:dyDescent="0.35">
      <c r="A20" s="1">
        <v>21.44</v>
      </c>
      <c r="B20" s="1" t="s">
        <v>4</v>
      </c>
    </row>
    <row r="21" spans="1:2" x14ac:dyDescent="0.35">
      <c r="A21" s="1">
        <v>30.98</v>
      </c>
      <c r="B21" s="1" t="s">
        <v>2</v>
      </c>
    </row>
    <row r="22" spans="1:2" x14ac:dyDescent="0.35">
      <c r="A22" s="1">
        <v>26.8</v>
      </c>
      <c r="B22" s="1" t="s">
        <v>0</v>
      </c>
    </row>
  </sheetData>
  <mergeCells count="1">
    <mergeCell ref="B1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26EB-0DFC-4E02-9F3D-BFEBA4483F52}">
  <dimension ref="A1:J25"/>
  <sheetViews>
    <sheetView workbookViewId="0">
      <selection activeCell="C23" sqref="C23"/>
    </sheetView>
  </sheetViews>
  <sheetFormatPr defaultColWidth="8.7265625" defaultRowHeight="14.5" x14ac:dyDescent="0.35"/>
  <cols>
    <col min="1" max="1" width="33.81640625" style="1" bestFit="1" customWidth="1"/>
    <col min="2" max="2" width="20.7265625" style="1" bestFit="1" customWidth="1"/>
    <col min="3" max="3" width="9" style="1" bestFit="1" customWidth="1"/>
    <col min="4" max="4" width="9.54296875" style="1" bestFit="1" customWidth="1"/>
    <col min="5" max="5" width="13.26953125" style="1" bestFit="1" customWidth="1"/>
    <col min="6" max="6" width="11.453125" style="1" bestFit="1" customWidth="1"/>
    <col min="7" max="7" width="9.26953125" style="1" bestFit="1" customWidth="1"/>
    <col min="8" max="8" width="6.1796875" style="1" bestFit="1" customWidth="1"/>
    <col min="9" max="9" width="17.453125" style="1" customWidth="1"/>
    <col min="10" max="10" width="20.54296875" style="1" customWidth="1"/>
    <col min="11" max="11" width="21.1796875" style="1" bestFit="1" customWidth="1"/>
    <col min="12" max="12" width="20" style="1" bestFit="1" customWidth="1"/>
    <col min="13" max="13" width="18.81640625" style="1" customWidth="1"/>
    <col min="14" max="14" width="16.1796875" style="1" customWidth="1"/>
    <col min="15" max="15" width="14.26953125" style="1" customWidth="1"/>
    <col min="16" max="16384" width="8.7265625" style="1"/>
  </cols>
  <sheetData>
    <row r="1" spans="1:10" x14ac:dyDescent="0.35">
      <c r="A1" s="2" t="s">
        <v>36</v>
      </c>
      <c r="B1" s="2" t="s">
        <v>35</v>
      </c>
      <c r="C1" s="2" t="s">
        <v>34</v>
      </c>
      <c r="D1" s="2" t="s">
        <v>33</v>
      </c>
      <c r="E1" s="2" t="s">
        <v>32</v>
      </c>
      <c r="F1" s="2" t="s">
        <v>31</v>
      </c>
      <c r="G1" s="2" t="s">
        <v>1</v>
      </c>
      <c r="H1" s="2" t="s">
        <v>30</v>
      </c>
      <c r="J1" s="2" t="s">
        <v>45</v>
      </c>
    </row>
    <row r="2" spans="1:10" x14ac:dyDescent="0.35">
      <c r="A2" s="1" t="s">
        <v>55</v>
      </c>
      <c r="C2" s="1">
        <v>28</v>
      </c>
      <c r="G2" s="1">
        <f>SUM(C2:F2)</f>
        <v>28</v>
      </c>
      <c r="H2" s="3"/>
      <c r="J2" s="1">
        <v>3</v>
      </c>
    </row>
    <row r="3" spans="1:10" x14ac:dyDescent="0.35">
      <c r="A3" s="1" t="s">
        <v>54</v>
      </c>
      <c r="C3" s="1">
        <v>21</v>
      </c>
      <c r="G3" s="1">
        <f>SUM(C3:F3)</f>
        <v>21</v>
      </c>
      <c r="H3" s="3"/>
    </row>
    <row r="4" spans="1:10" x14ac:dyDescent="0.35">
      <c r="A4" s="1" t="s">
        <v>57</v>
      </c>
      <c r="B4" s="1" t="s">
        <v>56</v>
      </c>
      <c r="G4" s="1">
        <f>SUM(B4:F4)</f>
        <v>0</v>
      </c>
      <c r="H4" s="3"/>
    </row>
    <row r="5" spans="1:10" x14ac:dyDescent="0.35">
      <c r="A5" s="1" t="s">
        <v>53</v>
      </c>
      <c r="C5" s="1">
        <v>28</v>
      </c>
      <c r="G5" s="1">
        <f t="shared" ref="G5:G12" si="0">SUM(C5:F5)</f>
        <v>28</v>
      </c>
      <c r="H5" s="3"/>
    </row>
    <row r="6" spans="1:10" x14ac:dyDescent="0.35">
      <c r="A6" s="1" t="s">
        <v>52</v>
      </c>
      <c r="B6" s="1">
        <v>2</v>
      </c>
      <c r="C6" s="1">
        <f t="shared" ref="C6:C12" si="1">$J$2*B6</f>
        <v>6</v>
      </c>
      <c r="G6" s="1">
        <f t="shared" si="0"/>
        <v>6</v>
      </c>
      <c r="H6" s="3"/>
    </row>
    <row r="7" spans="1:10" x14ac:dyDescent="0.35">
      <c r="A7" s="1" t="s">
        <v>44</v>
      </c>
      <c r="B7" s="1">
        <v>6</v>
      </c>
      <c r="C7" s="1">
        <f t="shared" si="1"/>
        <v>18</v>
      </c>
      <c r="G7" s="1">
        <f t="shared" si="0"/>
        <v>18</v>
      </c>
    </row>
    <row r="8" spans="1:10" x14ac:dyDescent="0.35">
      <c r="A8" s="1" t="s">
        <v>43</v>
      </c>
      <c r="B8" s="1">
        <v>8</v>
      </c>
      <c r="C8" s="1">
        <f t="shared" si="1"/>
        <v>24</v>
      </c>
      <c r="G8" s="1">
        <f t="shared" si="0"/>
        <v>24</v>
      </c>
    </row>
    <row r="9" spans="1:10" x14ac:dyDescent="0.35">
      <c r="A9" s="1" t="s">
        <v>42</v>
      </c>
      <c r="B9" s="1">
        <v>7</v>
      </c>
      <c r="C9" s="1">
        <f t="shared" si="1"/>
        <v>21</v>
      </c>
      <c r="G9" s="1">
        <f t="shared" si="0"/>
        <v>21</v>
      </c>
    </row>
    <row r="10" spans="1:10" x14ac:dyDescent="0.35">
      <c r="A10" s="1" t="s">
        <v>41</v>
      </c>
      <c r="B10" s="1">
        <v>6</v>
      </c>
      <c r="C10" s="1">
        <f t="shared" si="1"/>
        <v>18</v>
      </c>
      <c r="G10" s="1">
        <f t="shared" si="0"/>
        <v>18</v>
      </c>
    </row>
    <row r="11" spans="1:10" x14ac:dyDescent="0.35">
      <c r="A11" s="1" t="s">
        <v>51</v>
      </c>
      <c r="B11" s="1">
        <v>5</v>
      </c>
      <c r="C11" s="1">
        <f t="shared" si="1"/>
        <v>15</v>
      </c>
      <c r="G11" s="1">
        <f t="shared" si="0"/>
        <v>15</v>
      </c>
    </row>
    <row r="12" spans="1:10" x14ac:dyDescent="0.35">
      <c r="A12" s="1" t="s">
        <v>40</v>
      </c>
      <c r="B12" s="1">
        <v>9</v>
      </c>
      <c r="C12" s="1">
        <f t="shared" si="1"/>
        <v>27</v>
      </c>
      <c r="G12" s="1">
        <f t="shared" si="0"/>
        <v>27</v>
      </c>
    </row>
    <row r="13" spans="1:10" x14ac:dyDescent="0.35">
      <c r="A13" s="2" t="s">
        <v>21</v>
      </c>
      <c r="B13" s="2"/>
      <c r="G13" s="1">
        <f>SUM(G2:G12)</f>
        <v>206</v>
      </c>
    </row>
    <row r="14" spans="1:10" x14ac:dyDescent="0.35">
      <c r="A14" s="2"/>
      <c r="B14" s="2"/>
    </row>
    <row r="15" spans="1:10" x14ac:dyDescent="0.35">
      <c r="A15" s="2" t="s">
        <v>19</v>
      </c>
      <c r="B15" s="2"/>
    </row>
    <row r="16" spans="1:10" x14ac:dyDescent="0.35">
      <c r="A16" s="1" t="s">
        <v>50</v>
      </c>
      <c r="C16" s="1">
        <v>8</v>
      </c>
      <c r="G16" s="1">
        <f t="shared" ref="G16:G23" si="2">SUM(C16:F16)</f>
        <v>8</v>
      </c>
    </row>
    <row r="17" spans="1:7" x14ac:dyDescent="0.35">
      <c r="A17" s="1" t="s">
        <v>49</v>
      </c>
      <c r="C17" s="1">
        <v>8</v>
      </c>
      <c r="G17" s="1">
        <f t="shared" si="2"/>
        <v>8</v>
      </c>
    </row>
    <row r="18" spans="1:7" x14ac:dyDescent="0.35">
      <c r="A18" s="1" t="s">
        <v>48</v>
      </c>
      <c r="C18" s="1">
        <v>8</v>
      </c>
      <c r="G18" s="1">
        <f t="shared" si="2"/>
        <v>8</v>
      </c>
    </row>
    <row r="19" spans="1:7" x14ac:dyDescent="0.35">
      <c r="A19" s="1" t="s">
        <v>47</v>
      </c>
      <c r="C19" s="1">
        <v>15</v>
      </c>
      <c r="G19" s="1">
        <f t="shared" si="2"/>
        <v>15</v>
      </c>
    </row>
    <row r="20" spans="1:7" x14ac:dyDescent="0.35">
      <c r="A20" s="1" t="s">
        <v>46</v>
      </c>
      <c r="C20" s="1">
        <v>15</v>
      </c>
      <c r="G20" s="1">
        <f t="shared" si="2"/>
        <v>15</v>
      </c>
    </row>
    <row r="21" spans="1:7" x14ac:dyDescent="0.35">
      <c r="A21" s="1" t="s">
        <v>39</v>
      </c>
      <c r="C21" s="1">
        <v>13</v>
      </c>
      <c r="G21" s="1">
        <f t="shared" si="2"/>
        <v>13</v>
      </c>
    </row>
    <row r="22" spans="1:7" x14ac:dyDescent="0.35">
      <c r="A22" s="1" t="s">
        <v>38</v>
      </c>
      <c r="C22" s="1">
        <v>16</v>
      </c>
      <c r="G22" s="1">
        <f t="shared" si="2"/>
        <v>16</v>
      </c>
    </row>
    <row r="23" spans="1:7" x14ac:dyDescent="0.35">
      <c r="A23" s="1" t="s">
        <v>37</v>
      </c>
      <c r="C23" s="1">
        <v>23</v>
      </c>
      <c r="G23" s="1">
        <f t="shared" si="2"/>
        <v>23</v>
      </c>
    </row>
    <row r="24" spans="1:7" x14ac:dyDescent="0.35">
      <c r="A24" s="2" t="s">
        <v>3</v>
      </c>
      <c r="B24" s="2"/>
      <c r="G24" s="1">
        <f>SUM(G16:G23)</f>
        <v>106</v>
      </c>
    </row>
    <row r="25" spans="1:7" x14ac:dyDescent="0.35">
      <c r="A25" s="2" t="s">
        <v>1</v>
      </c>
      <c r="B25" s="2"/>
      <c r="G25" s="1">
        <f>G13+G24</f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B569-23BB-4C05-90E7-FF1B0DB5B50F}">
  <dimension ref="A1:J25"/>
  <sheetViews>
    <sheetView workbookViewId="0">
      <selection activeCell="I8" sqref="I8"/>
    </sheetView>
  </sheetViews>
  <sheetFormatPr defaultColWidth="8.7265625" defaultRowHeight="14.5" x14ac:dyDescent="0.35"/>
  <cols>
    <col min="1" max="1" width="33.81640625" style="1" bestFit="1" customWidth="1"/>
    <col min="2" max="2" width="20.7265625" style="1" bestFit="1" customWidth="1"/>
    <col min="3" max="3" width="9" style="1" bestFit="1" customWidth="1"/>
    <col min="4" max="4" width="9.54296875" style="1" bestFit="1" customWidth="1"/>
    <col min="5" max="5" width="13.26953125" style="1" bestFit="1" customWidth="1"/>
    <col min="6" max="6" width="11.453125" style="1" bestFit="1" customWidth="1"/>
    <col min="7" max="7" width="9.26953125" style="1" bestFit="1" customWidth="1"/>
    <col min="8" max="8" width="6.1796875" style="1" bestFit="1" customWidth="1"/>
    <col min="9" max="9" width="17.453125" style="1" customWidth="1"/>
    <col min="10" max="10" width="20.54296875" style="1" customWidth="1"/>
    <col min="11" max="11" width="21.1796875" style="1" bestFit="1" customWidth="1"/>
    <col min="12" max="12" width="20" style="1" bestFit="1" customWidth="1"/>
    <col min="13" max="13" width="18.81640625" style="1" customWidth="1"/>
    <col min="14" max="14" width="16.1796875" style="1" customWidth="1"/>
    <col min="15" max="15" width="14.26953125" style="1" customWidth="1"/>
    <col min="16" max="16384" width="8.7265625" style="1"/>
  </cols>
  <sheetData>
    <row r="1" spans="1:10" x14ac:dyDescent="0.35">
      <c r="A1" s="2" t="s">
        <v>36</v>
      </c>
      <c r="B1" s="2" t="s">
        <v>35</v>
      </c>
      <c r="C1" s="2" t="s">
        <v>34</v>
      </c>
      <c r="D1" s="2" t="s">
        <v>33</v>
      </c>
      <c r="E1" s="2" t="s">
        <v>32</v>
      </c>
      <c r="F1" s="2" t="s">
        <v>31</v>
      </c>
      <c r="G1" s="2" t="s">
        <v>1</v>
      </c>
      <c r="H1" s="2" t="s">
        <v>30</v>
      </c>
      <c r="J1" s="2" t="s">
        <v>45</v>
      </c>
    </row>
    <row r="2" spans="1:10" x14ac:dyDescent="0.35">
      <c r="G2" s="1">
        <f>SUM(C2:F2)</f>
        <v>0</v>
      </c>
      <c r="H2" s="3"/>
      <c r="J2" s="1">
        <v>3</v>
      </c>
    </row>
    <row r="3" spans="1:10" x14ac:dyDescent="0.35">
      <c r="G3" s="1">
        <f>SUM(C3:F3)</f>
        <v>0</v>
      </c>
      <c r="H3" s="3"/>
    </row>
    <row r="4" spans="1:10" x14ac:dyDescent="0.35">
      <c r="G4" s="1">
        <f>SUM(B4:F4)</f>
        <v>0</v>
      </c>
      <c r="H4" s="3"/>
    </row>
    <row r="5" spans="1:10" x14ac:dyDescent="0.35">
      <c r="G5" s="1">
        <f t="shared" ref="G5:G12" si="0">SUM(C5:F5)</f>
        <v>0</v>
      </c>
      <c r="H5" s="3"/>
    </row>
    <row r="6" spans="1:10" x14ac:dyDescent="0.35">
      <c r="G6" s="1">
        <f t="shared" si="0"/>
        <v>0</v>
      </c>
      <c r="H6" s="3"/>
    </row>
    <row r="7" spans="1:10" x14ac:dyDescent="0.35">
      <c r="A7" s="1" t="s">
        <v>44</v>
      </c>
      <c r="B7" s="1">
        <v>6</v>
      </c>
      <c r="C7" s="1">
        <f>$J$2*B7</f>
        <v>18</v>
      </c>
      <c r="G7" s="1">
        <f t="shared" si="0"/>
        <v>18</v>
      </c>
      <c r="H7" s="1">
        <v>2</v>
      </c>
    </row>
    <row r="8" spans="1:10" x14ac:dyDescent="0.35">
      <c r="A8" s="1" t="s">
        <v>43</v>
      </c>
      <c r="B8" s="1">
        <v>8</v>
      </c>
      <c r="C8" s="1">
        <f>$J$2*B8</f>
        <v>24</v>
      </c>
      <c r="G8" s="1">
        <f t="shared" si="0"/>
        <v>24</v>
      </c>
      <c r="H8" s="1">
        <v>2</v>
      </c>
    </row>
    <row r="9" spans="1:10" x14ac:dyDescent="0.35">
      <c r="A9" s="1" t="s">
        <v>42</v>
      </c>
      <c r="B9" s="1">
        <v>7</v>
      </c>
      <c r="C9" s="1">
        <f>$J$2*B9</f>
        <v>21</v>
      </c>
      <c r="G9" s="1">
        <f t="shared" si="0"/>
        <v>21</v>
      </c>
      <c r="H9" s="1">
        <v>2</v>
      </c>
    </row>
    <row r="10" spans="1:10" x14ac:dyDescent="0.35">
      <c r="A10" s="1" t="s">
        <v>41</v>
      </c>
      <c r="B10" s="1">
        <v>6</v>
      </c>
      <c r="C10" s="1">
        <f>$J$2*B10</f>
        <v>18</v>
      </c>
      <c r="G10" s="1">
        <f t="shared" si="0"/>
        <v>18</v>
      </c>
      <c r="H10" s="1">
        <v>2</v>
      </c>
    </row>
    <row r="11" spans="1:10" x14ac:dyDescent="0.35">
      <c r="G11" s="1">
        <f t="shared" si="0"/>
        <v>0</v>
      </c>
    </row>
    <row r="12" spans="1:10" x14ac:dyDescent="0.35">
      <c r="A12" s="1" t="s">
        <v>40</v>
      </c>
      <c r="B12" s="1">
        <v>9</v>
      </c>
      <c r="C12" s="1">
        <f>$J$2*B12</f>
        <v>27</v>
      </c>
      <c r="G12" s="1">
        <f t="shared" si="0"/>
        <v>27</v>
      </c>
      <c r="H12" s="1">
        <v>2</v>
      </c>
    </row>
    <row r="13" spans="1:10" x14ac:dyDescent="0.35">
      <c r="A13" s="2" t="s">
        <v>21</v>
      </c>
      <c r="B13" s="2"/>
      <c r="G13" s="1">
        <f>SUM(G2:G12)</f>
        <v>108</v>
      </c>
    </row>
    <row r="14" spans="1:10" x14ac:dyDescent="0.35">
      <c r="A14" s="2"/>
      <c r="B14" s="2"/>
    </row>
    <row r="15" spans="1:10" x14ac:dyDescent="0.35">
      <c r="A15" s="2" t="s">
        <v>19</v>
      </c>
      <c r="B15" s="2"/>
    </row>
    <row r="16" spans="1:10" x14ac:dyDescent="0.35">
      <c r="G16" s="1">
        <f t="shared" ref="G16:G23" si="1">SUM(C16:F16)</f>
        <v>0</v>
      </c>
    </row>
    <row r="17" spans="1:8" x14ac:dyDescent="0.35">
      <c r="G17" s="1">
        <f t="shared" si="1"/>
        <v>0</v>
      </c>
    </row>
    <row r="18" spans="1:8" x14ac:dyDescent="0.35">
      <c r="G18" s="1">
        <f t="shared" si="1"/>
        <v>0</v>
      </c>
    </row>
    <row r="19" spans="1:8" x14ac:dyDescent="0.35">
      <c r="G19" s="1">
        <f t="shared" si="1"/>
        <v>0</v>
      </c>
    </row>
    <row r="20" spans="1:8" x14ac:dyDescent="0.35">
      <c r="G20" s="1">
        <f t="shared" si="1"/>
        <v>0</v>
      </c>
    </row>
    <row r="21" spans="1:8" x14ac:dyDescent="0.35">
      <c r="A21" s="1" t="s">
        <v>39</v>
      </c>
      <c r="C21" s="1">
        <v>13</v>
      </c>
      <c r="G21" s="1">
        <f t="shared" si="1"/>
        <v>13</v>
      </c>
      <c r="H21" s="1">
        <v>1</v>
      </c>
    </row>
    <row r="22" spans="1:8" x14ac:dyDescent="0.35">
      <c r="A22" s="1" t="s">
        <v>38</v>
      </c>
      <c r="C22" s="1">
        <v>16</v>
      </c>
      <c r="G22" s="1">
        <f t="shared" si="1"/>
        <v>16</v>
      </c>
      <c r="H22" s="1">
        <v>2</v>
      </c>
    </row>
    <row r="23" spans="1:8" x14ac:dyDescent="0.35">
      <c r="A23" s="1" t="s">
        <v>37</v>
      </c>
      <c r="C23" s="1">
        <v>23</v>
      </c>
      <c r="G23" s="1">
        <f t="shared" si="1"/>
        <v>23</v>
      </c>
      <c r="H23" s="1">
        <v>2</v>
      </c>
    </row>
    <row r="24" spans="1:8" x14ac:dyDescent="0.35">
      <c r="A24" s="2" t="s">
        <v>3</v>
      </c>
      <c r="B24" s="2"/>
      <c r="G24" s="1">
        <f>SUM(G16:G23)</f>
        <v>52</v>
      </c>
    </row>
    <row r="25" spans="1:8" x14ac:dyDescent="0.35">
      <c r="A25" s="2" t="s">
        <v>1</v>
      </c>
      <c r="B25" s="2"/>
      <c r="G25" s="1">
        <f>G13+G24</f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C146-A3EA-4335-93D0-9291651B0B52}">
  <dimension ref="A1:J25"/>
  <sheetViews>
    <sheetView workbookViewId="0">
      <selection activeCell="I8" sqref="I8"/>
    </sheetView>
  </sheetViews>
  <sheetFormatPr defaultColWidth="8.7265625" defaultRowHeight="14.5" x14ac:dyDescent="0.35"/>
  <cols>
    <col min="1" max="1" width="33.81640625" style="1" bestFit="1" customWidth="1"/>
    <col min="2" max="2" width="20.7265625" style="1" bestFit="1" customWidth="1"/>
    <col min="3" max="3" width="9" style="1" bestFit="1" customWidth="1"/>
    <col min="4" max="4" width="9.54296875" style="1" bestFit="1" customWidth="1"/>
    <col min="5" max="5" width="13.26953125" style="1" bestFit="1" customWidth="1"/>
    <col min="6" max="6" width="11.453125" style="1" bestFit="1" customWidth="1"/>
    <col min="7" max="7" width="9.26953125" style="1" bestFit="1" customWidth="1"/>
    <col min="8" max="8" width="6.1796875" style="1" bestFit="1" customWidth="1"/>
    <col min="9" max="9" width="17.453125" style="1" customWidth="1"/>
    <col min="10" max="10" width="20.54296875" style="1" customWidth="1"/>
    <col min="11" max="11" width="21.1796875" style="1" bestFit="1" customWidth="1"/>
    <col min="12" max="12" width="20" style="1" bestFit="1" customWidth="1"/>
    <col min="13" max="13" width="18.81640625" style="1" customWidth="1"/>
    <col min="14" max="14" width="16.1796875" style="1" customWidth="1"/>
    <col min="15" max="15" width="14.26953125" style="1" customWidth="1"/>
    <col min="16" max="16384" width="8.7265625" style="1"/>
  </cols>
  <sheetData>
    <row r="1" spans="1:10" x14ac:dyDescent="0.35">
      <c r="A1" s="2" t="s">
        <v>36</v>
      </c>
      <c r="B1" s="2" t="s">
        <v>35</v>
      </c>
      <c r="C1" s="2" t="s">
        <v>34</v>
      </c>
      <c r="D1" s="2" t="s">
        <v>33</v>
      </c>
      <c r="E1" s="2" t="s">
        <v>32</v>
      </c>
      <c r="F1" s="2" t="s">
        <v>31</v>
      </c>
      <c r="G1" s="2" t="s">
        <v>1</v>
      </c>
      <c r="H1" s="2" t="s">
        <v>30</v>
      </c>
      <c r="J1" s="2" t="s">
        <v>45</v>
      </c>
    </row>
    <row r="2" spans="1:10" x14ac:dyDescent="0.35">
      <c r="A2" s="1" t="s">
        <v>55</v>
      </c>
      <c r="C2" s="1">
        <v>28</v>
      </c>
      <c r="G2" s="1">
        <f>SUM(C2:F2)</f>
        <v>28</v>
      </c>
      <c r="H2" s="3">
        <v>4</v>
      </c>
      <c r="J2" s="1">
        <v>3</v>
      </c>
    </row>
    <row r="3" spans="1:10" x14ac:dyDescent="0.35">
      <c r="A3" s="1" t="s">
        <v>54</v>
      </c>
      <c r="C3" s="1">
        <v>21</v>
      </c>
      <c r="G3" s="1">
        <f>SUM(C3:F3)</f>
        <v>21</v>
      </c>
      <c r="H3" s="3">
        <v>2</v>
      </c>
    </row>
    <row r="4" spans="1:10" x14ac:dyDescent="0.35">
      <c r="H4" s="3"/>
    </row>
    <row r="5" spans="1:10" x14ac:dyDescent="0.35">
      <c r="A5" s="1" t="s">
        <v>53</v>
      </c>
      <c r="C5" s="1">
        <v>28</v>
      </c>
      <c r="G5" s="1">
        <f>SUM(C5:F5)</f>
        <v>28</v>
      </c>
      <c r="H5" s="18">
        <v>4</v>
      </c>
    </row>
    <row r="6" spans="1:10" x14ac:dyDescent="0.35">
      <c r="A6" s="1" t="s">
        <v>52</v>
      </c>
      <c r="B6" s="1">
        <v>2</v>
      </c>
      <c r="C6" s="1">
        <f>$J$2*B6</f>
        <v>6</v>
      </c>
      <c r="G6" s="1">
        <f>SUM(C6:F6)</f>
        <v>6</v>
      </c>
      <c r="H6" s="18"/>
    </row>
    <row r="8" spans="1:10" x14ac:dyDescent="0.35">
      <c r="G8" s="1">
        <f>SUM(C8:F8)</f>
        <v>0</v>
      </c>
    </row>
    <row r="11" spans="1:10" x14ac:dyDescent="0.35">
      <c r="A11" s="1" t="s">
        <v>51</v>
      </c>
      <c r="B11" s="1">
        <v>5</v>
      </c>
      <c r="C11" s="1">
        <f>$J$2*B11</f>
        <v>15</v>
      </c>
      <c r="G11" s="1">
        <f>SUM(C11:F11)</f>
        <v>15</v>
      </c>
      <c r="H11" s="1">
        <v>1</v>
      </c>
    </row>
    <row r="13" spans="1:10" x14ac:dyDescent="0.35">
      <c r="A13" s="2" t="s">
        <v>21</v>
      </c>
      <c r="B13" s="2"/>
      <c r="G13" s="1">
        <f>SUM(G2:G12)</f>
        <v>98</v>
      </c>
    </row>
    <row r="14" spans="1:10" x14ac:dyDescent="0.35">
      <c r="A14" s="2"/>
      <c r="B14" s="2"/>
    </row>
    <row r="15" spans="1:10" x14ac:dyDescent="0.35">
      <c r="A15" s="2" t="s">
        <v>19</v>
      </c>
      <c r="B15" s="2"/>
    </row>
    <row r="16" spans="1:10" x14ac:dyDescent="0.35">
      <c r="A16" s="1" t="s">
        <v>50</v>
      </c>
      <c r="C16" s="1">
        <v>8</v>
      </c>
      <c r="G16" s="1">
        <f>SUM(C16:F16)</f>
        <v>8</v>
      </c>
      <c r="H16" s="18">
        <v>1</v>
      </c>
    </row>
    <row r="17" spans="1:8" x14ac:dyDescent="0.35">
      <c r="A17" s="1" t="s">
        <v>49</v>
      </c>
      <c r="C17" s="1">
        <v>8</v>
      </c>
      <c r="G17" s="1">
        <f>SUM(C17:F17)</f>
        <v>8</v>
      </c>
      <c r="H17" s="18"/>
    </row>
    <row r="18" spans="1:8" x14ac:dyDescent="0.35">
      <c r="A18" s="1" t="s">
        <v>48</v>
      </c>
      <c r="C18" s="1">
        <v>8</v>
      </c>
      <c r="G18" s="1">
        <f>SUM(C18:F18)</f>
        <v>8</v>
      </c>
      <c r="H18" s="1">
        <v>1</v>
      </c>
    </row>
    <row r="19" spans="1:8" x14ac:dyDescent="0.35">
      <c r="A19" s="1" t="s">
        <v>47</v>
      </c>
      <c r="C19" s="1">
        <v>15</v>
      </c>
      <c r="G19" s="1">
        <f>SUM(C19:F19)</f>
        <v>15</v>
      </c>
      <c r="H19" s="1">
        <v>1</v>
      </c>
    </row>
    <row r="20" spans="1:8" x14ac:dyDescent="0.35">
      <c r="A20" s="1" t="s">
        <v>46</v>
      </c>
      <c r="C20" s="1">
        <v>15</v>
      </c>
      <c r="G20" s="1">
        <f>SUM(C20:F20)</f>
        <v>15</v>
      </c>
      <c r="H20" s="1">
        <v>1</v>
      </c>
    </row>
    <row r="24" spans="1:8" x14ac:dyDescent="0.35">
      <c r="A24" s="2" t="s">
        <v>3</v>
      </c>
      <c r="B24" s="2"/>
      <c r="G24" s="1">
        <f>SUM(G16:G23)</f>
        <v>54</v>
      </c>
    </row>
    <row r="25" spans="1:8" x14ac:dyDescent="0.35">
      <c r="A25" s="2" t="s">
        <v>1</v>
      </c>
      <c r="B25" s="2"/>
      <c r="G25" s="1">
        <f>G13+G24</f>
        <v>152</v>
      </c>
    </row>
  </sheetData>
  <mergeCells count="2">
    <mergeCell ref="H5:H6"/>
    <mergeCell ref="H16:H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6393-7AB5-4F13-829E-9A81DC449659}">
  <dimension ref="A1:J25"/>
  <sheetViews>
    <sheetView workbookViewId="0">
      <selection activeCell="H25" sqref="H25"/>
    </sheetView>
  </sheetViews>
  <sheetFormatPr defaultColWidth="8.7265625" defaultRowHeight="14.5" x14ac:dyDescent="0.35"/>
  <cols>
    <col min="1" max="1" width="33.81640625" style="1" bestFit="1" customWidth="1"/>
    <col min="2" max="2" width="20.7265625" style="1" bestFit="1" customWidth="1"/>
    <col min="3" max="3" width="9" style="1" bestFit="1" customWidth="1"/>
    <col min="4" max="4" width="9.54296875" style="1" bestFit="1" customWidth="1"/>
    <col min="5" max="5" width="13.26953125" style="1" bestFit="1" customWidth="1"/>
    <col min="6" max="6" width="11.453125" style="1" bestFit="1" customWidth="1"/>
    <col min="7" max="7" width="9.26953125" style="1" bestFit="1" customWidth="1"/>
    <col min="8" max="8" width="6.1796875" style="1" bestFit="1" customWidth="1"/>
    <col min="9" max="9" width="18.26953125" style="1" bestFit="1" customWidth="1"/>
    <col min="10" max="10" width="20.54296875" style="1" customWidth="1"/>
    <col min="11" max="11" width="21.1796875" style="1" bestFit="1" customWidth="1"/>
    <col min="12" max="12" width="20" style="1" bestFit="1" customWidth="1"/>
    <col min="13" max="13" width="18.81640625" style="1" customWidth="1"/>
    <col min="14" max="14" width="16.1796875" style="1" customWidth="1"/>
    <col min="15" max="15" width="14.26953125" style="1" customWidth="1"/>
    <col min="16" max="16384" width="8.7265625" style="1"/>
  </cols>
  <sheetData>
    <row r="1" spans="1:10" x14ac:dyDescent="0.35">
      <c r="A1" s="2" t="s">
        <v>36</v>
      </c>
      <c r="B1" s="2" t="s">
        <v>35</v>
      </c>
      <c r="C1" s="2" t="s">
        <v>34</v>
      </c>
      <c r="D1" s="2" t="s">
        <v>33</v>
      </c>
      <c r="E1" s="2" t="s">
        <v>32</v>
      </c>
      <c r="F1" s="2" t="s">
        <v>31</v>
      </c>
      <c r="G1" s="2" t="s">
        <v>1</v>
      </c>
      <c r="H1" s="2" t="s">
        <v>30</v>
      </c>
      <c r="I1" s="2"/>
      <c r="J1" s="2"/>
    </row>
    <row r="2" spans="1:10" x14ac:dyDescent="0.35">
      <c r="A2" s="1" t="s">
        <v>29</v>
      </c>
      <c r="C2" s="1">
        <v>28</v>
      </c>
      <c r="G2" s="1">
        <f t="shared" ref="G2:G12" si="0">SUM(C2:F2)</f>
        <v>28</v>
      </c>
      <c r="H2" s="3">
        <v>3</v>
      </c>
    </row>
    <row r="3" spans="1:10" x14ac:dyDescent="0.35">
      <c r="A3" s="1" t="s">
        <v>28</v>
      </c>
      <c r="C3" s="1">
        <v>50</v>
      </c>
      <c r="G3" s="1">
        <f t="shared" si="0"/>
        <v>50</v>
      </c>
      <c r="H3" s="3">
        <v>6</v>
      </c>
    </row>
    <row r="4" spans="1:10" x14ac:dyDescent="0.35">
      <c r="A4" s="1" t="s">
        <v>27</v>
      </c>
      <c r="C4" s="1">
        <v>5</v>
      </c>
      <c r="G4" s="1">
        <f t="shared" si="0"/>
        <v>5</v>
      </c>
      <c r="H4" s="18">
        <v>3</v>
      </c>
    </row>
    <row r="5" spans="1:10" x14ac:dyDescent="0.35">
      <c r="A5" s="1" t="s">
        <v>25</v>
      </c>
      <c r="C5" s="1">
        <v>5</v>
      </c>
      <c r="G5" s="1">
        <f t="shared" si="0"/>
        <v>5</v>
      </c>
      <c r="H5" s="18"/>
    </row>
    <row r="6" spans="1:10" x14ac:dyDescent="0.35">
      <c r="A6" s="1" t="s">
        <v>24</v>
      </c>
      <c r="C6" s="1">
        <v>8</v>
      </c>
      <c r="G6" s="1">
        <f t="shared" si="0"/>
        <v>8</v>
      </c>
      <c r="H6" s="18"/>
    </row>
    <row r="7" spans="1:10" x14ac:dyDescent="0.35">
      <c r="A7" s="1" t="s">
        <v>23</v>
      </c>
      <c r="C7" s="1">
        <v>7</v>
      </c>
      <c r="G7" s="1">
        <f t="shared" si="0"/>
        <v>7</v>
      </c>
      <c r="H7" s="18"/>
    </row>
    <row r="8" spans="1:10" x14ac:dyDescent="0.35">
      <c r="A8" s="1" t="s">
        <v>22</v>
      </c>
      <c r="C8" s="1">
        <v>5</v>
      </c>
      <c r="G8" s="1">
        <f t="shared" si="0"/>
        <v>5</v>
      </c>
      <c r="H8" s="18"/>
    </row>
    <row r="9" spans="1:10" x14ac:dyDescent="0.35">
      <c r="G9" s="1">
        <f t="shared" si="0"/>
        <v>0</v>
      </c>
    </row>
    <row r="10" spans="1:10" x14ac:dyDescent="0.35">
      <c r="G10" s="1">
        <f t="shared" si="0"/>
        <v>0</v>
      </c>
    </row>
    <row r="11" spans="1:10" x14ac:dyDescent="0.35">
      <c r="G11" s="1">
        <f t="shared" si="0"/>
        <v>0</v>
      </c>
    </row>
    <row r="12" spans="1:10" x14ac:dyDescent="0.35">
      <c r="G12" s="1">
        <f t="shared" si="0"/>
        <v>0</v>
      </c>
    </row>
    <row r="13" spans="1:10" x14ac:dyDescent="0.35">
      <c r="A13" s="2" t="s">
        <v>21</v>
      </c>
      <c r="B13" s="2"/>
      <c r="G13" s="1">
        <f>SUM(G2:G12)</f>
        <v>108</v>
      </c>
      <c r="H13" s="1">
        <f>SUM(H2:H12)</f>
        <v>12</v>
      </c>
    </row>
    <row r="14" spans="1:10" x14ac:dyDescent="0.35">
      <c r="A14" s="2"/>
      <c r="B14" s="2"/>
    </row>
    <row r="15" spans="1:10" x14ac:dyDescent="0.35">
      <c r="A15" s="2" t="s">
        <v>19</v>
      </c>
      <c r="B15" s="2"/>
    </row>
    <row r="16" spans="1:10" x14ac:dyDescent="0.35">
      <c r="A16" s="1" t="s">
        <v>17</v>
      </c>
      <c r="C16" s="1">
        <v>5</v>
      </c>
      <c r="G16" s="1">
        <f t="shared" ref="G16:G21" si="1">SUM(C16:F16)</f>
        <v>5</v>
      </c>
      <c r="H16" s="18">
        <v>1</v>
      </c>
    </row>
    <row r="17" spans="1:8" x14ac:dyDescent="0.35">
      <c r="A17" s="1" t="s">
        <v>11</v>
      </c>
      <c r="C17" s="1">
        <v>8</v>
      </c>
      <c r="G17" s="1">
        <f t="shared" si="1"/>
        <v>8</v>
      </c>
      <c r="H17" s="18"/>
    </row>
    <row r="18" spans="1:8" x14ac:dyDescent="0.35">
      <c r="A18" s="1" t="s">
        <v>9</v>
      </c>
      <c r="C18" s="1">
        <v>5</v>
      </c>
      <c r="G18" s="1">
        <f t="shared" si="1"/>
        <v>5</v>
      </c>
      <c r="H18" s="18"/>
    </row>
    <row r="19" spans="1:8" x14ac:dyDescent="0.35">
      <c r="A19" s="1" t="s">
        <v>15</v>
      </c>
      <c r="C19" s="1">
        <v>5</v>
      </c>
      <c r="G19" s="1">
        <f t="shared" si="1"/>
        <v>5</v>
      </c>
      <c r="H19" s="18">
        <v>1</v>
      </c>
    </row>
    <row r="20" spans="1:8" x14ac:dyDescent="0.35">
      <c r="A20" s="1" t="s">
        <v>13</v>
      </c>
      <c r="C20" s="1">
        <v>8</v>
      </c>
      <c r="G20" s="1">
        <f t="shared" si="1"/>
        <v>8</v>
      </c>
      <c r="H20" s="18"/>
    </row>
    <row r="21" spans="1:8" x14ac:dyDescent="0.35">
      <c r="A21" s="1" t="s">
        <v>7</v>
      </c>
      <c r="C21" s="1">
        <v>15</v>
      </c>
      <c r="F21" s="1">
        <v>2</v>
      </c>
      <c r="G21" s="1">
        <f t="shared" si="1"/>
        <v>17</v>
      </c>
      <c r="H21" s="1">
        <v>2</v>
      </c>
    </row>
    <row r="24" spans="1:8" x14ac:dyDescent="0.35">
      <c r="A24" s="2" t="s">
        <v>3</v>
      </c>
      <c r="B24" s="2"/>
      <c r="G24" s="1">
        <f>SUM(G16:G23)</f>
        <v>48</v>
      </c>
      <c r="H24" s="1">
        <f>SUM(H16:H23)</f>
        <v>4</v>
      </c>
    </row>
    <row r="25" spans="1:8" x14ac:dyDescent="0.35">
      <c r="A25" s="2" t="s">
        <v>1</v>
      </c>
      <c r="B25" s="2"/>
      <c r="G25" s="1">
        <f>G13+G24</f>
        <v>156</v>
      </c>
      <c r="H25" s="1">
        <f>H13+H24</f>
        <v>16</v>
      </c>
    </row>
  </sheetData>
  <mergeCells count="3">
    <mergeCell ref="H4:H8"/>
    <mergeCell ref="H16:H18"/>
    <mergeCell ref="H19:H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F550-245B-4806-8956-4E9BA18E2AD0}">
  <dimension ref="A1:E29"/>
  <sheetViews>
    <sheetView workbookViewId="0">
      <pane ySplit="1" topLeftCell="A2" activePane="bottomLeft" state="frozen"/>
      <selection pane="bottomLeft" activeCell="B15" sqref="B15"/>
    </sheetView>
  </sheetViews>
  <sheetFormatPr defaultRowHeight="14.5" x14ac:dyDescent="0.35"/>
  <cols>
    <col min="1" max="1" width="27" bestFit="1" customWidth="1"/>
    <col min="2" max="2" width="17.81640625" bestFit="1" customWidth="1"/>
    <col min="3" max="3" width="11.54296875" customWidth="1"/>
  </cols>
  <sheetData>
    <row r="1" spans="1:5" ht="29" x14ac:dyDescent="0.35">
      <c r="A1" s="4" t="s">
        <v>58</v>
      </c>
      <c r="B1" s="4" t="s">
        <v>60</v>
      </c>
      <c r="C1" s="5" t="s">
        <v>71</v>
      </c>
      <c r="D1" s="4" t="s">
        <v>72</v>
      </c>
    </row>
    <row r="2" spans="1:5" x14ac:dyDescent="0.35">
      <c r="A2" t="s">
        <v>59</v>
      </c>
      <c r="B2" t="s">
        <v>61</v>
      </c>
      <c r="C2">
        <v>35</v>
      </c>
      <c r="D2" s="6">
        <v>46056</v>
      </c>
      <c r="E2" s="19">
        <v>2</v>
      </c>
    </row>
    <row r="3" spans="1:5" x14ac:dyDescent="0.35">
      <c r="A3" t="s">
        <v>59</v>
      </c>
      <c r="B3" t="s">
        <v>61</v>
      </c>
      <c r="C3">
        <v>35</v>
      </c>
      <c r="D3" s="6">
        <v>46057</v>
      </c>
      <c r="E3" s="19"/>
    </row>
    <row r="4" spans="1:5" x14ac:dyDescent="0.35">
      <c r="A4" t="s">
        <v>59</v>
      </c>
      <c r="B4" t="s">
        <v>62</v>
      </c>
      <c r="C4">
        <v>45</v>
      </c>
      <c r="D4" s="6">
        <v>46058</v>
      </c>
      <c r="E4" s="19"/>
    </row>
    <row r="5" spans="1:5" x14ac:dyDescent="0.35">
      <c r="A5" t="s">
        <v>59</v>
      </c>
      <c r="B5" t="s">
        <v>62</v>
      </c>
      <c r="C5">
        <v>15</v>
      </c>
      <c r="D5" s="6">
        <v>46061</v>
      </c>
      <c r="E5" s="19"/>
    </row>
    <row r="6" spans="1:5" x14ac:dyDescent="0.35">
      <c r="A6" t="s">
        <v>59</v>
      </c>
      <c r="B6" t="s">
        <v>63</v>
      </c>
      <c r="C6">
        <v>50</v>
      </c>
      <c r="D6" s="6">
        <v>46061</v>
      </c>
      <c r="E6" s="19"/>
    </row>
    <row r="7" spans="1:5" x14ac:dyDescent="0.35">
      <c r="A7" t="s">
        <v>59</v>
      </c>
      <c r="B7" t="s">
        <v>65</v>
      </c>
      <c r="E7" s="19"/>
    </row>
    <row r="8" spans="1:5" x14ac:dyDescent="0.35">
      <c r="A8" t="s">
        <v>59</v>
      </c>
      <c r="B8" t="s">
        <v>64</v>
      </c>
      <c r="C8">
        <v>10</v>
      </c>
      <c r="D8" s="6">
        <v>46063</v>
      </c>
      <c r="E8" s="19"/>
    </row>
    <row r="9" spans="1:5" x14ac:dyDescent="0.35">
      <c r="A9" t="s">
        <v>66</v>
      </c>
      <c r="B9" t="s">
        <v>61</v>
      </c>
      <c r="C9">
        <v>15</v>
      </c>
      <c r="D9" s="6">
        <v>46061</v>
      </c>
      <c r="E9" s="19">
        <v>1</v>
      </c>
    </row>
    <row r="10" spans="1:5" x14ac:dyDescent="0.35">
      <c r="A10" t="s">
        <v>66</v>
      </c>
      <c r="B10" t="s">
        <v>62</v>
      </c>
      <c r="C10">
        <v>25</v>
      </c>
      <c r="D10" s="6">
        <v>46061</v>
      </c>
      <c r="E10" s="19"/>
    </row>
    <row r="11" spans="1:5" x14ac:dyDescent="0.35">
      <c r="A11" t="s">
        <v>66</v>
      </c>
      <c r="B11" t="s">
        <v>65</v>
      </c>
      <c r="C11">
        <v>5</v>
      </c>
      <c r="D11" s="6">
        <v>46063</v>
      </c>
      <c r="E11" s="19"/>
    </row>
    <row r="12" spans="1:5" x14ac:dyDescent="0.35">
      <c r="A12" t="s">
        <v>66</v>
      </c>
      <c r="B12" t="s">
        <v>64</v>
      </c>
      <c r="E12" s="19"/>
    </row>
    <row r="13" spans="1:5" x14ac:dyDescent="0.35">
      <c r="A13" t="s">
        <v>67</v>
      </c>
      <c r="B13" t="s">
        <v>68</v>
      </c>
    </row>
    <row r="14" spans="1:5" x14ac:dyDescent="0.35">
      <c r="A14" t="s">
        <v>67</v>
      </c>
      <c r="B14" t="s">
        <v>64</v>
      </c>
    </row>
    <row r="15" spans="1:5" x14ac:dyDescent="0.35">
      <c r="A15" t="s">
        <v>28</v>
      </c>
      <c r="B15" t="s">
        <v>61</v>
      </c>
      <c r="C15">
        <v>30</v>
      </c>
      <c r="D15" s="6">
        <v>46076</v>
      </c>
      <c r="E15" s="19">
        <v>3</v>
      </c>
    </row>
    <row r="16" spans="1:5" x14ac:dyDescent="0.35">
      <c r="A16" t="s">
        <v>28</v>
      </c>
      <c r="B16" t="s">
        <v>62</v>
      </c>
      <c r="C16">
        <v>55</v>
      </c>
      <c r="D16" s="6">
        <v>46072</v>
      </c>
      <c r="E16" s="19"/>
    </row>
    <row r="17" spans="1:5" x14ac:dyDescent="0.35">
      <c r="A17" t="s">
        <v>28</v>
      </c>
      <c r="B17" t="s">
        <v>62</v>
      </c>
      <c r="C17">
        <v>45</v>
      </c>
      <c r="D17" s="6">
        <v>46073</v>
      </c>
      <c r="E17" s="19"/>
    </row>
    <row r="18" spans="1:5" x14ac:dyDescent="0.35">
      <c r="A18" t="s">
        <v>28</v>
      </c>
      <c r="B18" t="s">
        <v>63</v>
      </c>
      <c r="C18">
        <v>30</v>
      </c>
      <c r="D18" s="6">
        <v>46076</v>
      </c>
      <c r="E18" s="19"/>
    </row>
    <row r="19" spans="1:5" x14ac:dyDescent="0.35">
      <c r="A19" t="s">
        <v>28</v>
      </c>
      <c r="B19" t="s">
        <v>63</v>
      </c>
      <c r="C19">
        <v>60</v>
      </c>
      <c r="D19" s="6">
        <v>46078</v>
      </c>
      <c r="E19" s="19"/>
    </row>
    <row r="20" spans="1:5" x14ac:dyDescent="0.35">
      <c r="A20" t="s">
        <v>28</v>
      </c>
      <c r="B20" t="s">
        <v>65</v>
      </c>
      <c r="C20">
        <v>30</v>
      </c>
      <c r="E20" s="19"/>
    </row>
    <row r="21" spans="1:5" x14ac:dyDescent="0.35">
      <c r="A21" t="s">
        <v>28</v>
      </c>
      <c r="B21" t="s">
        <v>64</v>
      </c>
      <c r="C21">
        <v>30</v>
      </c>
      <c r="E21" s="19"/>
    </row>
    <row r="22" spans="1:5" x14ac:dyDescent="0.35">
      <c r="A22" t="s">
        <v>7</v>
      </c>
      <c r="B22" t="s">
        <v>61</v>
      </c>
      <c r="C22">
        <v>30</v>
      </c>
      <c r="D22" s="6">
        <v>46075</v>
      </c>
      <c r="E22" s="19">
        <v>2</v>
      </c>
    </row>
    <row r="23" spans="1:5" x14ac:dyDescent="0.35">
      <c r="A23" t="s">
        <v>7</v>
      </c>
      <c r="B23" t="s">
        <v>62</v>
      </c>
      <c r="C23">
        <v>50</v>
      </c>
      <c r="D23" s="6">
        <v>46076</v>
      </c>
      <c r="E23" s="19"/>
    </row>
    <row r="24" spans="1:5" x14ac:dyDescent="0.35">
      <c r="A24" t="s">
        <v>7</v>
      </c>
      <c r="B24" t="s">
        <v>65</v>
      </c>
      <c r="C24">
        <v>40</v>
      </c>
      <c r="D24" s="6">
        <v>46076</v>
      </c>
      <c r="E24" s="19"/>
    </row>
    <row r="25" spans="1:5" x14ac:dyDescent="0.35">
      <c r="A25" t="s">
        <v>7</v>
      </c>
      <c r="B25" t="s">
        <v>64</v>
      </c>
      <c r="C25">
        <v>10</v>
      </c>
      <c r="D25" s="6">
        <v>46076</v>
      </c>
      <c r="E25" s="19"/>
    </row>
    <row r="26" spans="1:5" x14ac:dyDescent="0.35">
      <c r="A26" t="s">
        <v>69</v>
      </c>
      <c r="B26" t="s">
        <v>61</v>
      </c>
    </row>
    <row r="27" spans="1:5" x14ac:dyDescent="0.35">
      <c r="A27" t="s">
        <v>69</v>
      </c>
      <c r="B27" t="s">
        <v>65</v>
      </c>
    </row>
    <row r="28" spans="1:5" x14ac:dyDescent="0.35">
      <c r="A28" t="s">
        <v>69</v>
      </c>
      <c r="B28" t="s">
        <v>64</v>
      </c>
    </row>
    <row r="29" spans="1:5" x14ac:dyDescent="0.35">
      <c r="A29" t="s">
        <v>55</v>
      </c>
      <c r="B29" t="s">
        <v>70</v>
      </c>
      <c r="C29">
        <v>45</v>
      </c>
      <c r="D29" s="6">
        <v>46059</v>
      </c>
    </row>
  </sheetData>
  <mergeCells count="4">
    <mergeCell ref="E2:E8"/>
    <mergeCell ref="E9:E12"/>
    <mergeCell ref="E15:E21"/>
    <mergeCell ref="E22:E25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BB68-CF87-4726-AFBB-99610607B611}">
  <dimension ref="A1:R75"/>
  <sheetViews>
    <sheetView workbookViewId="0">
      <selection activeCell="C62" sqref="C62"/>
    </sheetView>
  </sheetViews>
  <sheetFormatPr defaultRowHeight="14.5" x14ac:dyDescent="0.35"/>
  <cols>
    <col min="1" max="1" width="28.453125" bestFit="1" customWidth="1"/>
    <col min="2" max="2" width="21.453125" bestFit="1" customWidth="1"/>
    <col min="4" max="4" width="9.81640625" bestFit="1" customWidth="1"/>
    <col min="5" max="5" width="13.7265625" bestFit="1" customWidth="1"/>
    <col min="6" max="6" width="11.54296875" bestFit="1" customWidth="1"/>
    <col min="7" max="7" width="9.26953125" bestFit="1" customWidth="1"/>
    <col min="12" max="12" width="19.54296875" bestFit="1" customWidth="1"/>
    <col min="16" max="16" width="20.7265625" bestFit="1" customWidth="1"/>
  </cols>
  <sheetData>
    <row r="1" spans="1:18" x14ac:dyDescent="0.35">
      <c r="A1" s="2" t="s">
        <v>36</v>
      </c>
      <c r="B1" s="2" t="s">
        <v>35</v>
      </c>
      <c r="C1" s="2" t="s">
        <v>34</v>
      </c>
      <c r="D1" s="2" t="s">
        <v>33</v>
      </c>
      <c r="E1" s="2" t="s">
        <v>32</v>
      </c>
      <c r="F1" s="2" t="s">
        <v>31</v>
      </c>
      <c r="G1" s="2" t="s">
        <v>1</v>
      </c>
      <c r="H1" s="2" t="s">
        <v>30</v>
      </c>
      <c r="K1" s="2" t="s">
        <v>148</v>
      </c>
      <c r="L1" t="s">
        <v>146</v>
      </c>
      <c r="M1" t="s">
        <v>145</v>
      </c>
      <c r="N1" t="s">
        <v>30</v>
      </c>
      <c r="O1" t="s">
        <v>148</v>
      </c>
      <c r="P1" t="s">
        <v>147</v>
      </c>
      <c r="Q1" t="s">
        <v>145</v>
      </c>
      <c r="R1" t="s">
        <v>30</v>
      </c>
    </row>
    <row r="2" spans="1:18" x14ac:dyDescent="0.35">
      <c r="A2" s="1" t="s">
        <v>73</v>
      </c>
      <c r="B2" s="1"/>
      <c r="C2" s="1">
        <v>8</v>
      </c>
      <c r="D2" s="1"/>
      <c r="E2" s="1"/>
      <c r="F2" s="1"/>
      <c r="G2" s="1">
        <f>SUM(C2:F2)</f>
        <v>8</v>
      </c>
      <c r="H2" s="3"/>
      <c r="L2" s="7" t="s">
        <v>136</v>
      </c>
      <c r="M2" s="7"/>
      <c r="N2" s="7">
        <v>5</v>
      </c>
    </row>
    <row r="3" spans="1:18" x14ac:dyDescent="0.35">
      <c r="A3" s="1" t="s">
        <v>74</v>
      </c>
      <c r="B3" s="1"/>
      <c r="C3" s="1">
        <v>5</v>
      </c>
      <c r="D3" s="1"/>
      <c r="E3" s="1"/>
      <c r="F3" s="1"/>
      <c r="G3" s="1">
        <f t="shared" ref="G3:G62" si="0">SUM(C3:F3)</f>
        <v>5</v>
      </c>
      <c r="H3" s="3"/>
      <c r="L3" s="7" t="s">
        <v>144</v>
      </c>
      <c r="M3" s="7">
        <v>18</v>
      </c>
      <c r="N3" s="7">
        <v>2</v>
      </c>
    </row>
    <row r="4" spans="1:18" x14ac:dyDescent="0.35">
      <c r="A4" s="1" t="s">
        <v>75</v>
      </c>
      <c r="B4" s="1"/>
      <c r="C4" s="1">
        <v>5</v>
      </c>
      <c r="D4" s="1"/>
      <c r="E4" s="1"/>
      <c r="F4" s="1"/>
      <c r="G4" s="1">
        <f t="shared" si="0"/>
        <v>5</v>
      </c>
      <c r="H4" s="3"/>
      <c r="K4" s="19">
        <v>7</v>
      </c>
      <c r="L4" s="7" t="s">
        <v>134</v>
      </c>
      <c r="M4" s="7">
        <v>18</v>
      </c>
      <c r="N4" s="7">
        <v>3</v>
      </c>
      <c r="P4" s="7" t="s">
        <v>143</v>
      </c>
      <c r="Q4" s="7">
        <v>32</v>
      </c>
      <c r="R4" s="7">
        <v>3</v>
      </c>
    </row>
    <row r="5" spans="1:18" x14ac:dyDescent="0.35">
      <c r="A5" s="1" t="s">
        <v>76</v>
      </c>
      <c r="B5" s="1"/>
      <c r="C5" s="1">
        <v>5</v>
      </c>
      <c r="D5" s="1"/>
      <c r="E5" s="1"/>
      <c r="F5" s="1"/>
      <c r="G5" s="1">
        <f t="shared" si="0"/>
        <v>5</v>
      </c>
      <c r="H5" s="3"/>
      <c r="K5" s="19"/>
      <c r="L5" s="8" t="s">
        <v>91</v>
      </c>
      <c r="M5" s="8">
        <v>18</v>
      </c>
      <c r="N5" s="8">
        <v>1</v>
      </c>
      <c r="P5" s="7" t="s">
        <v>141</v>
      </c>
      <c r="Q5" s="7">
        <v>56</v>
      </c>
      <c r="R5" s="7">
        <v>5</v>
      </c>
    </row>
    <row r="6" spans="1:18" x14ac:dyDescent="0.35">
      <c r="A6" s="1" t="s">
        <v>77</v>
      </c>
      <c r="B6" s="1"/>
      <c r="C6" s="1">
        <v>8</v>
      </c>
      <c r="D6" s="1"/>
      <c r="E6" s="1"/>
      <c r="F6" s="1"/>
      <c r="G6" s="1">
        <f t="shared" si="0"/>
        <v>8</v>
      </c>
      <c r="H6" s="3"/>
      <c r="O6" s="19">
        <v>4</v>
      </c>
      <c r="P6" s="7" t="s">
        <v>138</v>
      </c>
      <c r="Q6" s="7">
        <v>8</v>
      </c>
      <c r="R6" s="7">
        <v>1</v>
      </c>
    </row>
    <row r="7" spans="1:18" x14ac:dyDescent="0.35">
      <c r="A7" s="1" t="s">
        <v>78</v>
      </c>
      <c r="B7" s="1"/>
      <c r="C7" s="1">
        <v>5</v>
      </c>
      <c r="D7" s="1"/>
      <c r="E7" s="1"/>
      <c r="F7" s="1"/>
      <c r="G7" s="1">
        <f t="shared" si="0"/>
        <v>5</v>
      </c>
      <c r="H7" s="3"/>
      <c r="K7">
        <v>5</v>
      </c>
      <c r="L7" s="9" t="s">
        <v>137</v>
      </c>
      <c r="M7" s="9">
        <v>33</v>
      </c>
      <c r="N7" s="9">
        <v>4</v>
      </c>
      <c r="O7" s="19"/>
      <c r="P7" s="8" t="s">
        <v>139</v>
      </c>
      <c r="Q7" s="8">
        <v>39</v>
      </c>
      <c r="R7" s="8">
        <v>1</v>
      </c>
    </row>
    <row r="8" spans="1:18" x14ac:dyDescent="0.35">
      <c r="A8" s="1" t="s">
        <v>79</v>
      </c>
      <c r="B8" s="1"/>
      <c r="C8" s="1">
        <v>5</v>
      </c>
      <c r="D8" s="1"/>
      <c r="E8" s="1"/>
      <c r="F8" s="1"/>
      <c r="G8" s="1">
        <f t="shared" si="0"/>
        <v>5</v>
      </c>
      <c r="H8" s="3"/>
      <c r="K8">
        <v>5</v>
      </c>
      <c r="L8" s="8" t="s">
        <v>135</v>
      </c>
      <c r="M8" s="8">
        <v>18</v>
      </c>
      <c r="N8" s="8">
        <v>1</v>
      </c>
      <c r="O8">
        <v>4</v>
      </c>
      <c r="P8" s="8" t="s">
        <v>140</v>
      </c>
      <c r="Q8" s="8">
        <v>16</v>
      </c>
      <c r="R8" s="8">
        <v>2</v>
      </c>
    </row>
    <row r="9" spans="1:18" x14ac:dyDescent="0.35">
      <c r="A9" s="1" t="s">
        <v>80</v>
      </c>
      <c r="B9" s="1"/>
      <c r="C9" s="1">
        <v>8</v>
      </c>
      <c r="D9" s="1"/>
      <c r="E9" s="1"/>
      <c r="F9" s="1"/>
      <c r="G9" s="1">
        <f t="shared" si="0"/>
        <v>8</v>
      </c>
      <c r="H9" s="1"/>
      <c r="O9" s="19">
        <v>3</v>
      </c>
      <c r="P9" s="8" t="s">
        <v>142</v>
      </c>
      <c r="Q9" s="8">
        <v>24</v>
      </c>
      <c r="R9" s="8">
        <v>1</v>
      </c>
    </row>
    <row r="10" spans="1:18" x14ac:dyDescent="0.35">
      <c r="A10" s="1" t="s">
        <v>81</v>
      </c>
      <c r="B10" s="1"/>
      <c r="C10" s="1">
        <v>5</v>
      </c>
      <c r="D10" s="1"/>
      <c r="E10" s="1"/>
      <c r="F10" s="1"/>
      <c r="G10" s="1">
        <f t="shared" si="0"/>
        <v>5</v>
      </c>
      <c r="H10" s="1"/>
      <c r="O10" s="19"/>
      <c r="P10" s="10" t="s">
        <v>107</v>
      </c>
      <c r="Q10" s="7">
        <v>15</v>
      </c>
      <c r="R10" s="7">
        <v>1</v>
      </c>
    </row>
    <row r="11" spans="1:18" x14ac:dyDescent="0.35">
      <c r="A11" s="1" t="s">
        <v>82</v>
      </c>
      <c r="B11" s="1"/>
      <c r="C11" s="1">
        <v>5</v>
      </c>
      <c r="D11" s="1"/>
      <c r="E11" s="1"/>
      <c r="F11" s="1"/>
      <c r="G11" s="1">
        <f t="shared" si="0"/>
        <v>5</v>
      </c>
      <c r="H11" s="1"/>
      <c r="L11" s="7" t="s">
        <v>149</v>
      </c>
      <c r="M11" s="7">
        <v>8</v>
      </c>
      <c r="N11" s="7">
        <v>1</v>
      </c>
    </row>
    <row r="12" spans="1:18" x14ac:dyDescent="0.35">
      <c r="A12" s="1" t="s">
        <v>83</v>
      </c>
      <c r="B12" s="1"/>
      <c r="C12" s="1">
        <v>8</v>
      </c>
      <c r="D12" s="1"/>
      <c r="E12" s="1"/>
      <c r="F12" s="1"/>
      <c r="G12" s="1">
        <f t="shared" si="0"/>
        <v>8</v>
      </c>
      <c r="H12" s="1"/>
    </row>
    <row r="13" spans="1:18" x14ac:dyDescent="0.35">
      <c r="A13" s="1" t="s">
        <v>84</v>
      </c>
      <c r="B13" s="1"/>
      <c r="C13" s="1">
        <v>5</v>
      </c>
      <c r="D13" s="1"/>
      <c r="E13" s="1"/>
      <c r="F13" s="1"/>
      <c r="G13" s="1">
        <f t="shared" si="0"/>
        <v>5</v>
      </c>
      <c r="H13" s="1"/>
    </row>
    <row r="14" spans="1:18" x14ac:dyDescent="0.35">
      <c r="A14" s="1" t="s">
        <v>85</v>
      </c>
      <c r="B14" s="1"/>
      <c r="C14" s="1">
        <v>5</v>
      </c>
      <c r="D14" s="1"/>
      <c r="E14" s="1"/>
      <c r="F14" s="1"/>
      <c r="G14" s="1">
        <f t="shared" si="0"/>
        <v>5</v>
      </c>
      <c r="H14" s="1"/>
    </row>
    <row r="15" spans="1:18" x14ac:dyDescent="0.35">
      <c r="A15" s="1" t="s">
        <v>86</v>
      </c>
      <c r="B15" s="1"/>
      <c r="C15" s="1">
        <v>15</v>
      </c>
      <c r="D15" s="1"/>
      <c r="E15" s="1"/>
      <c r="F15" s="1"/>
      <c r="G15" s="1">
        <f t="shared" si="0"/>
        <v>15</v>
      </c>
      <c r="H15" s="1"/>
    </row>
    <row r="16" spans="1:18" x14ac:dyDescent="0.35">
      <c r="A16" s="1" t="s">
        <v>87</v>
      </c>
      <c r="B16" s="1"/>
      <c r="C16" s="1">
        <v>8</v>
      </c>
      <c r="D16" s="1"/>
      <c r="E16" s="1"/>
      <c r="F16" s="1"/>
      <c r="G16" s="1">
        <f t="shared" si="0"/>
        <v>8</v>
      </c>
      <c r="H16" s="1"/>
    </row>
    <row r="17" spans="1:8" x14ac:dyDescent="0.35">
      <c r="A17" s="1" t="s">
        <v>88</v>
      </c>
      <c r="B17" s="1"/>
      <c r="C17" s="1">
        <v>8</v>
      </c>
      <c r="D17" s="1"/>
      <c r="E17" s="1"/>
      <c r="F17" s="1"/>
      <c r="G17" s="1">
        <f t="shared" si="0"/>
        <v>8</v>
      </c>
      <c r="H17" s="1"/>
    </row>
    <row r="18" spans="1:8" x14ac:dyDescent="0.35">
      <c r="A18" s="1" t="s">
        <v>89</v>
      </c>
      <c r="B18" s="1"/>
      <c r="C18" s="1">
        <v>5</v>
      </c>
      <c r="D18" s="1"/>
      <c r="E18" s="1"/>
      <c r="F18" s="1"/>
      <c r="G18" s="1">
        <f t="shared" si="0"/>
        <v>5</v>
      </c>
      <c r="H18" s="1"/>
    </row>
    <row r="19" spans="1:8" x14ac:dyDescent="0.35">
      <c r="A19" s="1" t="s">
        <v>90</v>
      </c>
      <c r="B19" s="1"/>
      <c r="C19" s="1">
        <v>5</v>
      </c>
      <c r="D19" s="1"/>
      <c r="E19" s="1"/>
      <c r="F19" s="1"/>
      <c r="G19" s="1">
        <f t="shared" si="0"/>
        <v>5</v>
      </c>
      <c r="H19" s="1"/>
    </row>
    <row r="20" spans="1:8" x14ac:dyDescent="0.35">
      <c r="A20" s="1" t="s">
        <v>91</v>
      </c>
      <c r="B20" s="1"/>
      <c r="C20" s="1">
        <v>8</v>
      </c>
      <c r="D20" s="1"/>
      <c r="E20" s="1"/>
      <c r="F20" s="1"/>
      <c r="G20" s="1">
        <f t="shared" si="0"/>
        <v>8</v>
      </c>
      <c r="H20" s="1"/>
    </row>
    <row r="21" spans="1:8" x14ac:dyDescent="0.35">
      <c r="A21" s="1" t="s">
        <v>92</v>
      </c>
      <c r="B21" s="1"/>
      <c r="C21" s="1">
        <v>5</v>
      </c>
      <c r="D21" s="1"/>
      <c r="E21" s="1"/>
      <c r="F21" s="1"/>
      <c r="G21" s="1">
        <f t="shared" si="0"/>
        <v>5</v>
      </c>
      <c r="H21" s="1"/>
    </row>
    <row r="22" spans="1:8" x14ac:dyDescent="0.35">
      <c r="A22" s="1" t="s">
        <v>93</v>
      </c>
      <c r="B22" s="1"/>
      <c r="C22" s="1">
        <v>5</v>
      </c>
      <c r="D22" s="1"/>
      <c r="E22" s="1"/>
      <c r="F22" s="1"/>
      <c r="G22" s="1">
        <f t="shared" si="0"/>
        <v>5</v>
      </c>
      <c r="H22" s="1"/>
    </row>
    <row r="23" spans="1:8" x14ac:dyDescent="0.35">
      <c r="A23" s="1" t="s">
        <v>94</v>
      </c>
      <c r="B23" s="1"/>
      <c r="C23" s="1">
        <v>8</v>
      </c>
      <c r="D23" s="1"/>
      <c r="E23" s="1"/>
      <c r="F23" s="1"/>
      <c r="G23" s="1">
        <f t="shared" si="0"/>
        <v>8</v>
      </c>
      <c r="H23" s="1"/>
    </row>
    <row r="24" spans="1:8" x14ac:dyDescent="0.35">
      <c r="A24" s="1" t="s">
        <v>95</v>
      </c>
      <c r="B24" s="1"/>
      <c r="C24" s="1">
        <v>5</v>
      </c>
      <c r="D24" s="1"/>
      <c r="E24" s="1"/>
      <c r="F24" s="1"/>
      <c r="G24" s="1">
        <f t="shared" si="0"/>
        <v>5</v>
      </c>
      <c r="H24" s="1"/>
    </row>
    <row r="25" spans="1:8" x14ac:dyDescent="0.35">
      <c r="A25" s="1" t="s">
        <v>102</v>
      </c>
      <c r="B25" s="1"/>
      <c r="C25" s="1">
        <v>5</v>
      </c>
      <c r="D25" s="1"/>
      <c r="E25" s="1"/>
      <c r="F25" s="1"/>
      <c r="G25" s="1">
        <f t="shared" si="0"/>
        <v>5</v>
      </c>
      <c r="H25" s="1"/>
    </row>
    <row r="26" spans="1:8" x14ac:dyDescent="0.35">
      <c r="A26" s="1" t="s">
        <v>103</v>
      </c>
      <c r="B26" s="1"/>
      <c r="C26" s="1">
        <v>5</v>
      </c>
      <c r="D26" s="1"/>
      <c r="E26" s="1"/>
      <c r="F26" s="1"/>
      <c r="G26" s="1">
        <f t="shared" si="0"/>
        <v>5</v>
      </c>
      <c r="H26" s="1"/>
    </row>
    <row r="27" spans="1:8" x14ac:dyDescent="0.35">
      <c r="A27" s="1" t="s">
        <v>110</v>
      </c>
      <c r="B27" s="1"/>
      <c r="C27" s="1">
        <v>8</v>
      </c>
      <c r="D27" s="1"/>
      <c r="E27" s="1"/>
      <c r="F27" s="1"/>
      <c r="G27" s="1">
        <f t="shared" si="0"/>
        <v>8</v>
      </c>
      <c r="H27" s="1"/>
    </row>
    <row r="28" spans="1:8" x14ac:dyDescent="0.35">
      <c r="A28" s="1" t="s">
        <v>96</v>
      </c>
      <c r="B28" s="1"/>
      <c r="C28" s="1">
        <v>8</v>
      </c>
      <c r="D28" s="1"/>
      <c r="E28" s="1"/>
      <c r="F28" s="1"/>
      <c r="G28" s="1">
        <f t="shared" si="0"/>
        <v>8</v>
      </c>
      <c r="H28" s="1"/>
    </row>
    <row r="29" spans="1:8" x14ac:dyDescent="0.35">
      <c r="A29" s="1" t="s">
        <v>97</v>
      </c>
      <c r="B29" s="1"/>
      <c r="C29" s="1">
        <v>5</v>
      </c>
      <c r="D29" s="1"/>
      <c r="E29" s="1"/>
      <c r="F29" s="1"/>
      <c r="G29" s="1">
        <f t="shared" si="0"/>
        <v>5</v>
      </c>
      <c r="H29" s="1"/>
    </row>
    <row r="30" spans="1:8" x14ac:dyDescent="0.35">
      <c r="A30" s="1" t="s">
        <v>98</v>
      </c>
      <c r="B30" s="1"/>
      <c r="C30" s="1">
        <v>5</v>
      </c>
      <c r="D30" s="1"/>
      <c r="E30" s="1"/>
      <c r="F30" s="1"/>
      <c r="G30" s="1">
        <f t="shared" si="0"/>
        <v>5</v>
      </c>
      <c r="H30" s="1"/>
    </row>
    <row r="31" spans="1:8" x14ac:dyDescent="0.35">
      <c r="A31" s="1" t="s">
        <v>99</v>
      </c>
      <c r="B31" s="1"/>
      <c r="C31" s="1">
        <v>15</v>
      </c>
      <c r="D31" s="1"/>
      <c r="E31" s="1"/>
      <c r="F31" s="1"/>
      <c r="G31" s="1">
        <f t="shared" si="0"/>
        <v>15</v>
      </c>
      <c r="H31" s="1"/>
    </row>
    <row r="32" spans="1:8" x14ac:dyDescent="0.35">
      <c r="A32" s="1" t="s">
        <v>100</v>
      </c>
      <c r="B32" s="1"/>
      <c r="C32" s="1">
        <v>8</v>
      </c>
      <c r="D32" s="1"/>
      <c r="E32" s="1"/>
      <c r="F32" s="1"/>
      <c r="G32" s="1">
        <f t="shared" si="0"/>
        <v>8</v>
      </c>
      <c r="H32" s="1"/>
    </row>
    <row r="33" spans="1:8" x14ac:dyDescent="0.35">
      <c r="A33" s="1" t="s">
        <v>101</v>
      </c>
      <c r="B33" s="1"/>
      <c r="C33" s="1">
        <v>5</v>
      </c>
      <c r="D33" s="1"/>
      <c r="E33" s="1"/>
      <c r="F33" s="1"/>
      <c r="G33" s="1">
        <f t="shared" si="0"/>
        <v>5</v>
      </c>
      <c r="H33" s="1"/>
    </row>
    <row r="34" spans="1:8" x14ac:dyDescent="0.35">
      <c r="A34" s="1" t="s">
        <v>104</v>
      </c>
      <c r="B34" s="1"/>
      <c r="C34" s="1">
        <v>8</v>
      </c>
      <c r="D34" s="1"/>
      <c r="E34" s="1"/>
      <c r="F34" s="1"/>
      <c r="G34" s="1">
        <f t="shared" si="0"/>
        <v>8</v>
      </c>
      <c r="H34" s="1"/>
    </row>
    <row r="35" spans="1:8" x14ac:dyDescent="0.35">
      <c r="A35" s="1" t="s">
        <v>105</v>
      </c>
      <c r="B35" s="1"/>
      <c r="C35" s="1">
        <v>8</v>
      </c>
      <c r="D35" s="1"/>
      <c r="E35" s="1"/>
      <c r="F35" s="1"/>
      <c r="G35" s="1">
        <f t="shared" si="0"/>
        <v>8</v>
      </c>
      <c r="H35" s="1"/>
    </row>
    <row r="36" spans="1:8" x14ac:dyDescent="0.35">
      <c r="A36" s="1" t="s">
        <v>106</v>
      </c>
      <c r="B36" s="1"/>
      <c r="C36" s="1">
        <v>8</v>
      </c>
      <c r="D36" s="1"/>
      <c r="E36" s="1"/>
      <c r="F36" s="1"/>
      <c r="G36" s="1">
        <f t="shared" si="0"/>
        <v>8</v>
      </c>
      <c r="H36" s="1"/>
    </row>
    <row r="37" spans="1:8" x14ac:dyDescent="0.35">
      <c r="A37" s="1" t="s">
        <v>107</v>
      </c>
      <c r="B37" s="1"/>
      <c r="C37" s="1">
        <v>8</v>
      </c>
      <c r="D37" s="1"/>
      <c r="E37" s="1"/>
      <c r="F37" s="1"/>
      <c r="G37" s="1">
        <f t="shared" si="0"/>
        <v>8</v>
      </c>
      <c r="H37" s="1"/>
    </row>
    <row r="38" spans="1:8" x14ac:dyDescent="0.35">
      <c r="A38" s="1" t="s">
        <v>108</v>
      </c>
      <c r="B38" s="1"/>
      <c r="C38" s="1">
        <v>8</v>
      </c>
      <c r="D38" s="1"/>
      <c r="E38" s="1"/>
      <c r="F38" s="1"/>
      <c r="G38" s="1">
        <f t="shared" si="0"/>
        <v>8</v>
      </c>
      <c r="H38" s="1"/>
    </row>
    <row r="39" spans="1:8" x14ac:dyDescent="0.35">
      <c r="A39" s="1" t="s">
        <v>109</v>
      </c>
      <c r="B39" s="1"/>
      <c r="C39" s="1">
        <v>8</v>
      </c>
      <c r="D39" s="1"/>
      <c r="E39" s="1"/>
      <c r="F39" s="1"/>
      <c r="G39" s="1">
        <f t="shared" si="0"/>
        <v>8</v>
      </c>
      <c r="H39" s="1"/>
    </row>
    <row r="40" spans="1:8" x14ac:dyDescent="0.35">
      <c r="A40" s="1" t="s">
        <v>131</v>
      </c>
      <c r="B40" s="1"/>
      <c r="C40" s="1">
        <v>8</v>
      </c>
      <c r="D40" s="1"/>
      <c r="E40" s="1"/>
      <c r="F40" s="1"/>
      <c r="G40" s="1">
        <f t="shared" si="0"/>
        <v>8</v>
      </c>
      <c r="H40" s="1"/>
    </row>
    <row r="41" spans="1:8" x14ac:dyDescent="0.35">
      <c r="A41" s="1" t="s">
        <v>132</v>
      </c>
      <c r="B41" s="1"/>
      <c r="C41" s="1">
        <v>5</v>
      </c>
      <c r="D41" s="1"/>
      <c r="E41" s="1"/>
      <c r="F41" s="1"/>
      <c r="G41" s="1">
        <f t="shared" si="0"/>
        <v>5</v>
      </c>
      <c r="H41" s="1"/>
    </row>
    <row r="42" spans="1:8" x14ac:dyDescent="0.35">
      <c r="A42" s="1" t="s">
        <v>133</v>
      </c>
      <c r="B42" s="1"/>
      <c r="C42" s="1">
        <v>8</v>
      </c>
      <c r="D42" s="1"/>
      <c r="E42" s="1"/>
      <c r="F42" s="1"/>
      <c r="G42" s="1">
        <f t="shared" si="0"/>
        <v>8</v>
      </c>
      <c r="H42" s="1"/>
    </row>
    <row r="43" spans="1:8" x14ac:dyDescent="0.35">
      <c r="A43" s="1" t="s">
        <v>111</v>
      </c>
      <c r="B43" s="1"/>
      <c r="C43" s="1">
        <v>8</v>
      </c>
      <c r="D43" s="1"/>
      <c r="E43" s="1"/>
      <c r="F43" s="1"/>
      <c r="G43" s="1">
        <f t="shared" si="0"/>
        <v>8</v>
      </c>
      <c r="H43" s="1"/>
    </row>
    <row r="44" spans="1:8" x14ac:dyDescent="0.35">
      <c r="A44" s="1" t="s">
        <v>113</v>
      </c>
      <c r="B44" s="1"/>
      <c r="C44" s="1">
        <v>5</v>
      </c>
      <c r="D44" s="1"/>
      <c r="E44" s="1"/>
      <c r="F44" s="1"/>
      <c r="G44" s="1">
        <f t="shared" si="0"/>
        <v>5</v>
      </c>
      <c r="H44" s="1"/>
    </row>
    <row r="45" spans="1:8" x14ac:dyDescent="0.35">
      <c r="A45" s="1" t="s">
        <v>112</v>
      </c>
      <c r="B45" s="1"/>
      <c r="C45" s="1">
        <v>8</v>
      </c>
      <c r="D45" s="1"/>
      <c r="E45" s="1"/>
      <c r="F45" s="1"/>
      <c r="G45" s="1">
        <f t="shared" si="0"/>
        <v>8</v>
      </c>
      <c r="H45" s="1"/>
    </row>
    <row r="46" spans="1:8" x14ac:dyDescent="0.35">
      <c r="A46" s="1" t="s">
        <v>114</v>
      </c>
      <c r="B46" s="1"/>
      <c r="C46" s="1">
        <v>8</v>
      </c>
      <c r="D46" s="1"/>
      <c r="E46" s="1"/>
      <c r="F46" s="1"/>
      <c r="G46" s="1">
        <f t="shared" si="0"/>
        <v>8</v>
      </c>
      <c r="H46" s="1"/>
    </row>
    <row r="47" spans="1:8" x14ac:dyDescent="0.35">
      <c r="A47" s="1" t="s">
        <v>115</v>
      </c>
      <c r="B47" s="1"/>
      <c r="C47" s="1">
        <v>8</v>
      </c>
      <c r="D47" s="1"/>
      <c r="E47" s="1"/>
      <c r="F47" s="1"/>
      <c r="G47" s="1">
        <f t="shared" si="0"/>
        <v>8</v>
      </c>
      <c r="H47" s="1"/>
    </row>
    <row r="48" spans="1:8" x14ac:dyDescent="0.35">
      <c r="A48" s="1" t="s">
        <v>116</v>
      </c>
      <c r="B48" s="1"/>
      <c r="C48" s="1">
        <v>8</v>
      </c>
      <c r="D48" s="1"/>
      <c r="E48" s="1"/>
      <c r="F48" s="1"/>
      <c r="G48" s="1">
        <f t="shared" si="0"/>
        <v>8</v>
      </c>
      <c r="H48" s="1"/>
    </row>
    <row r="49" spans="1:8" x14ac:dyDescent="0.35">
      <c r="A49" s="1" t="s">
        <v>117</v>
      </c>
      <c r="B49" s="1"/>
      <c r="C49" s="1">
        <v>8</v>
      </c>
      <c r="D49" s="1"/>
      <c r="E49" s="1"/>
      <c r="F49" s="1"/>
      <c r="G49" s="1">
        <f t="shared" si="0"/>
        <v>8</v>
      </c>
      <c r="H49" s="1"/>
    </row>
    <row r="50" spans="1:8" x14ac:dyDescent="0.35">
      <c r="A50" s="1" t="s">
        <v>118</v>
      </c>
      <c r="B50" s="1"/>
      <c r="C50" s="1">
        <v>8</v>
      </c>
      <c r="D50" s="1"/>
      <c r="E50" s="1"/>
      <c r="F50" s="1"/>
      <c r="G50" s="1">
        <f t="shared" si="0"/>
        <v>8</v>
      </c>
      <c r="H50" s="1"/>
    </row>
    <row r="51" spans="1:8" x14ac:dyDescent="0.35">
      <c r="A51" s="1" t="s">
        <v>119</v>
      </c>
      <c r="B51" s="1"/>
      <c r="C51" s="1">
        <v>5</v>
      </c>
      <c r="D51" s="1"/>
      <c r="E51" s="1"/>
      <c r="F51" s="1"/>
      <c r="G51" s="1">
        <f t="shared" si="0"/>
        <v>5</v>
      </c>
      <c r="H51" s="1"/>
    </row>
    <row r="52" spans="1:8" x14ac:dyDescent="0.35">
      <c r="A52" s="1" t="s">
        <v>120</v>
      </c>
      <c r="B52" s="1"/>
      <c r="C52" s="1">
        <v>15</v>
      </c>
      <c r="D52" s="1"/>
      <c r="E52" s="1"/>
      <c r="F52" s="1"/>
      <c r="G52" s="1">
        <f t="shared" si="0"/>
        <v>15</v>
      </c>
      <c r="H52" s="1"/>
    </row>
    <row r="53" spans="1:8" x14ac:dyDescent="0.35">
      <c r="A53" s="1" t="s">
        <v>121</v>
      </c>
      <c r="B53" s="1"/>
      <c r="C53" s="1">
        <v>8</v>
      </c>
      <c r="D53" s="1"/>
      <c r="E53" s="1"/>
      <c r="F53" s="1"/>
      <c r="G53" s="1">
        <f t="shared" si="0"/>
        <v>8</v>
      </c>
      <c r="H53" s="1"/>
    </row>
    <row r="54" spans="1:8" x14ac:dyDescent="0.35">
      <c r="A54" s="1" t="s">
        <v>122</v>
      </c>
      <c r="B54" s="1"/>
      <c r="C54" s="1">
        <v>8</v>
      </c>
      <c r="D54" s="1"/>
      <c r="E54" s="1"/>
      <c r="F54" s="1"/>
      <c r="G54" s="1">
        <f t="shared" si="0"/>
        <v>8</v>
      </c>
      <c r="H54" s="1"/>
    </row>
    <row r="55" spans="1:8" x14ac:dyDescent="0.35">
      <c r="A55" s="1" t="s">
        <v>123</v>
      </c>
      <c r="B55" s="1"/>
      <c r="C55" s="1">
        <v>8</v>
      </c>
      <c r="D55" s="1"/>
      <c r="E55" s="1"/>
      <c r="F55" s="1"/>
      <c r="G55" s="1">
        <f t="shared" si="0"/>
        <v>8</v>
      </c>
      <c r="H55" s="1"/>
    </row>
    <row r="56" spans="1:8" x14ac:dyDescent="0.35">
      <c r="A56" s="1" t="s">
        <v>124</v>
      </c>
      <c r="B56" s="1"/>
      <c r="C56" s="1">
        <v>8</v>
      </c>
      <c r="D56" s="1"/>
      <c r="E56" s="1"/>
      <c r="F56" s="1"/>
      <c r="G56" s="1">
        <f t="shared" si="0"/>
        <v>8</v>
      </c>
      <c r="H56" s="1"/>
    </row>
    <row r="57" spans="1:8" x14ac:dyDescent="0.35">
      <c r="A57" s="1" t="s">
        <v>125</v>
      </c>
      <c r="B57" s="1"/>
      <c r="C57" s="1">
        <v>8</v>
      </c>
      <c r="D57" s="1"/>
      <c r="E57" s="1"/>
      <c r="F57" s="1"/>
      <c r="G57" s="1">
        <f t="shared" si="0"/>
        <v>8</v>
      </c>
      <c r="H57" s="1"/>
    </row>
    <row r="58" spans="1:8" x14ac:dyDescent="0.35">
      <c r="A58" s="1" t="s">
        <v>126</v>
      </c>
      <c r="B58" s="1"/>
      <c r="C58" s="1">
        <v>8</v>
      </c>
      <c r="D58" s="1"/>
      <c r="E58" s="1"/>
      <c r="F58" s="1"/>
      <c r="G58" s="1">
        <f t="shared" si="0"/>
        <v>8</v>
      </c>
      <c r="H58" s="1"/>
    </row>
    <row r="59" spans="1:8" x14ac:dyDescent="0.35">
      <c r="A59" s="1" t="s">
        <v>127</v>
      </c>
      <c r="B59" s="1"/>
      <c r="C59" s="1">
        <v>8</v>
      </c>
      <c r="D59" s="1"/>
      <c r="E59" s="1"/>
      <c r="F59" s="1"/>
      <c r="G59" s="1">
        <f t="shared" si="0"/>
        <v>8</v>
      </c>
      <c r="H59" s="1"/>
    </row>
    <row r="60" spans="1:8" x14ac:dyDescent="0.35">
      <c r="A60" s="1" t="s">
        <v>128</v>
      </c>
      <c r="B60" s="1"/>
      <c r="C60" s="1">
        <v>8</v>
      </c>
      <c r="D60" s="1"/>
      <c r="E60" s="1"/>
      <c r="F60" s="1"/>
      <c r="G60" s="1">
        <f t="shared" si="0"/>
        <v>8</v>
      </c>
      <c r="H60" s="1"/>
    </row>
    <row r="61" spans="1:8" x14ac:dyDescent="0.35">
      <c r="A61" s="1" t="s">
        <v>129</v>
      </c>
      <c r="B61" s="1"/>
      <c r="C61" s="1">
        <v>8</v>
      </c>
      <c r="D61" s="1"/>
      <c r="E61" s="1"/>
      <c r="F61" s="1"/>
      <c r="G61" s="1">
        <f t="shared" si="0"/>
        <v>8</v>
      </c>
      <c r="H61" s="1"/>
    </row>
    <row r="62" spans="1:8" x14ac:dyDescent="0.35">
      <c r="A62" s="1" t="s">
        <v>130</v>
      </c>
      <c r="B62" s="1"/>
      <c r="C62" s="1">
        <v>8</v>
      </c>
      <c r="D62" s="1"/>
      <c r="E62" s="1"/>
      <c r="F62" s="1"/>
      <c r="G62" s="1">
        <f t="shared" si="0"/>
        <v>8</v>
      </c>
      <c r="H62" s="1"/>
    </row>
    <row r="63" spans="1:8" x14ac:dyDescent="0.35">
      <c r="A63" s="2" t="s">
        <v>21</v>
      </c>
      <c r="B63" s="2"/>
      <c r="C63" s="1"/>
      <c r="D63" s="1"/>
      <c r="E63" s="1"/>
      <c r="F63" s="1"/>
      <c r="G63" s="1">
        <f>SUM(G2:G62)</f>
        <v>443</v>
      </c>
      <c r="H63" s="1">
        <f>SUM(H2:H14)</f>
        <v>0</v>
      </c>
    </row>
    <row r="64" spans="1:8" x14ac:dyDescent="0.35">
      <c r="A64" s="2"/>
      <c r="B64" s="2"/>
      <c r="C64" s="1"/>
      <c r="D64" s="1"/>
      <c r="E64" s="1"/>
      <c r="F64" s="1"/>
      <c r="G64" s="1"/>
      <c r="H64" s="1"/>
    </row>
    <row r="65" spans="1:8" x14ac:dyDescent="0.35">
      <c r="A65" s="2" t="s">
        <v>19</v>
      </c>
      <c r="B65" s="2"/>
      <c r="C65" s="1"/>
      <c r="D65" s="1"/>
      <c r="E65" s="1"/>
      <c r="F65" s="1"/>
      <c r="G65" s="1"/>
      <c r="H65" s="1"/>
    </row>
    <row r="66" spans="1:8" x14ac:dyDescent="0.35">
      <c r="A66" s="1"/>
      <c r="B66" s="1"/>
      <c r="C66" s="1"/>
      <c r="D66" s="1"/>
      <c r="E66" s="1"/>
      <c r="F66" s="1"/>
      <c r="G66" s="1">
        <f t="shared" ref="G66:G71" si="1">SUM(C66:F66)</f>
        <v>0</v>
      </c>
      <c r="H66" s="3"/>
    </row>
    <row r="67" spans="1:8" x14ac:dyDescent="0.35">
      <c r="A67" s="1"/>
      <c r="B67" s="1"/>
      <c r="C67" s="1"/>
      <c r="D67" s="1"/>
      <c r="E67" s="1"/>
      <c r="F67" s="1"/>
      <c r="G67" s="1">
        <f t="shared" si="1"/>
        <v>0</v>
      </c>
      <c r="H67" s="3"/>
    </row>
    <row r="68" spans="1:8" x14ac:dyDescent="0.35">
      <c r="A68" s="1"/>
      <c r="B68" s="1"/>
      <c r="C68" s="1"/>
      <c r="D68" s="1"/>
      <c r="E68" s="1"/>
      <c r="F68" s="1"/>
      <c r="G68" s="1">
        <f t="shared" si="1"/>
        <v>0</v>
      </c>
      <c r="H68" s="3"/>
    </row>
    <row r="69" spans="1:8" x14ac:dyDescent="0.35">
      <c r="A69" s="1"/>
      <c r="B69" s="1"/>
      <c r="C69" s="1"/>
      <c r="D69" s="1"/>
      <c r="E69" s="1"/>
      <c r="F69" s="1"/>
      <c r="G69" s="1">
        <f t="shared" si="1"/>
        <v>0</v>
      </c>
      <c r="H69" s="3"/>
    </row>
    <row r="70" spans="1:8" x14ac:dyDescent="0.35">
      <c r="A70" s="1"/>
      <c r="B70" s="1"/>
      <c r="C70" s="1"/>
      <c r="D70" s="1"/>
      <c r="E70" s="1"/>
      <c r="F70" s="1"/>
      <c r="G70" s="1">
        <f t="shared" si="1"/>
        <v>0</v>
      </c>
      <c r="H70" s="3"/>
    </row>
    <row r="71" spans="1:8" x14ac:dyDescent="0.35">
      <c r="A71" s="1"/>
      <c r="B71" s="1"/>
      <c r="C71" s="1"/>
      <c r="D71" s="1"/>
      <c r="E71" s="1"/>
      <c r="F71" s="1"/>
      <c r="G71" s="1">
        <f t="shared" si="1"/>
        <v>0</v>
      </c>
      <c r="H71" s="1"/>
    </row>
    <row r="72" spans="1:8" x14ac:dyDescent="0.35">
      <c r="A72" s="1"/>
      <c r="B72" s="1"/>
      <c r="C72" s="1"/>
      <c r="D72" s="1"/>
      <c r="E72" s="1"/>
      <c r="F72" s="1"/>
      <c r="G72" s="1"/>
      <c r="H72" s="1"/>
    </row>
    <row r="73" spans="1:8" x14ac:dyDescent="0.35">
      <c r="A73" s="1"/>
      <c r="B73" s="1"/>
      <c r="C73" s="1"/>
      <c r="D73" s="1"/>
      <c r="E73" s="1"/>
      <c r="F73" s="1"/>
      <c r="G73" s="1"/>
      <c r="H73" s="1"/>
    </row>
    <row r="74" spans="1:8" x14ac:dyDescent="0.35">
      <c r="A74" s="2" t="s">
        <v>3</v>
      </c>
      <c r="B74" s="2"/>
      <c r="C74" s="1"/>
      <c r="D74" s="1"/>
      <c r="E74" s="1"/>
      <c r="F74" s="1"/>
      <c r="G74" s="1">
        <f>SUM(G66:G73)</f>
        <v>0</v>
      </c>
      <c r="H74" s="1">
        <f>SUM(H66:H73)</f>
        <v>0</v>
      </c>
    </row>
    <row r="75" spans="1:8" x14ac:dyDescent="0.35">
      <c r="A75" s="2" t="s">
        <v>1</v>
      </c>
      <c r="B75" s="2"/>
      <c r="C75" s="1"/>
      <c r="D75" s="1"/>
      <c r="E75" s="1"/>
      <c r="F75" s="1"/>
      <c r="G75" s="1">
        <f>G63+G74</f>
        <v>443</v>
      </c>
      <c r="H75" s="1">
        <f>H63+H74</f>
        <v>0</v>
      </c>
    </row>
  </sheetData>
  <mergeCells count="3">
    <mergeCell ref="K4:K5"/>
    <mergeCell ref="O9:O10"/>
    <mergeCell ref="O6:O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1486-E9E1-4E05-80E2-C22F6E0CBAF2}">
  <dimension ref="A1:P36"/>
  <sheetViews>
    <sheetView topLeftCell="B1" workbookViewId="0">
      <selection activeCell="N2" sqref="N2"/>
    </sheetView>
  </sheetViews>
  <sheetFormatPr defaultRowHeight="14.5" x14ac:dyDescent="0.35"/>
  <cols>
    <col min="1" max="1" width="33" bestFit="1" customWidth="1"/>
    <col min="2" max="2" width="21.453125" bestFit="1" customWidth="1"/>
    <col min="4" max="4" width="9.81640625" bestFit="1" customWidth="1"/>
    <col min="5" max="5" width="13.7265625" bestFit="1" customWidth="1"/>
    <col min="6" max="6" width="11.54296875" bestFit="1" customWidth="1"/>
    <col min="7" max="7" width="9.26953125" bestFit="1" customWidth="1"/>
    <col min="12" max="12" width="20.81640625" bestFit="1" customWidth="1"/>
    <col min="14" max="14" width="24.81640625" bestFit="1" customWidth="1"/>
  </cols>
  <sheetData>
    <row r="1" spans="1:16" x14ac:dyDescent="0.35">
      <c r="A1" s="2" t="s">
        <v>36</v>
      </c>
      <c r="B1" s="2" t="s">
        <v>35</v>
      </c>
      <c r="C1" s="2" t="s">
        <v>34</v>
      </c>
      <c r="D1" s="2" t="s">
        <v>33</v>
      </c>
      <c r="E1" s="2" t="s">
        <v>32</v>
      </c>
      <c r="F1" s="2" t="s">
        <v>31</v>
      </c>
      <c r="G1" s="2" t="s">
        <v>1</v>
      </c>
      <c r="H1" s="2"/>
      <c r="K1" s="2"/>
      <c r="L1" t="s">
        <v>170</v>
      </c>
      <c r="M1" t="s">
        <v>145</v>
      </c>
      <c r="N1" t="s">
        <v>263</v>
      </c>
      <c r="O1" t="s">
        <v>145</v>
      </c>
    </row>
    <row r="2" spans="1:16" x14ac:dyDescent="0.35">
      <c r="A2" s="1" t="s">
        <v>150</v>
      </c>
      <c r="B2" s="1">
        <v>1</v>
      </c>
      <c r="C2" s="1">
        <v>16</v>
      </c>
      <c r="D2" s="1"/>
      <c r="E2" s="1"/>
      <c r="F2" s="1"/>
      <c r="G2">
        <f>(B2*C2)+D2+E2+F2</f>
        <v>16</v>
      </c>
      <c r="H2" s="3"/>
      <c r="J2">
        <v>342</v>
      </c>
      <c r="L2" t="s">
        <v>171</v>
      </c>
      <c r="M2">
        <v>36</v>
      </c>
      <c r="N2" t="s">
        <v>150</v>
      </c>
      <c r="O2">
        <v>16</v>
      </c>
      <c r="P2">
        <v>1</v>
      </c>
    </row>
    <row r="3" spans="1:16" x14ac:dyDescent="0.35">
      <c r="A3" s="1" t="s">
        <v>151</v>
      </c>
      <c r="B3" s="1">
        <v>1</v>
      </c>
      <c r="C3" s="1">
        <v>10</v>
      </c>
      <c r="D3" s="1"/>
      <c r="E3" s="1"/>
      <c r="F3" s="1"/>
      <c r="G3">
        <f t="shared" ref="G3:G20" si="0">(B3*C3)+D3+E3+F3</f>
        <v>10</v>
      </c>
      <c r="H3" s="18">
        <v>66</v>
      </c>
      <c r="I3" s="3"/>
      <c r="K3">
        <v>3</v>
      </c>
      <c r="L3" t="s">
        <v>175</v>
      </c>
      <c r="M3">
        <v>30</v>
      </c>
      <c r="N3" s="8" t="s">
        <v>177</v>
      </c>
      <c r="O3" s="8">
        <v>26</v>
      </c>
      <c r="P3">
        <v>1</v>
      </c>
    </row>
    <row r="4" spans="1:16" x14ac:dyDescent="0.35">
      <c r="A4" s="1" t="s">
        <v>152</v>
      </c>
      <c r="B4" s="1">
        <v>1</v>
      </c>
      <c r="C4" s="1">
        <v>16</v>
      </c>
      <c r="D4" s="1"/>
      <c r="E4" s="1"/>
      <c r="F4" s="1"/>
      <c r="G4">
        <f t="shared" si="0"/>
        <v>16</v>
      </c>
      <c r="H4" s="18"/>
      <c r="I4" s="3"/>
      <c r="K4">
        <v>2</v>
      </c>
      <c r="L4" t="s">
        <v>172</v>
      </c>
      <c r="M4">
        <v>50</v>
      </c>
      <c r="N4" s="8" t="s">
        <v>178</v>
      </c>
      <c r="O4" s="8">
        <v>64</v>
      </c>
      <c r="P4">
        <v>2</v>
      </c>
    </row>
    <row r="5" spans="1:16" x14ac:dyDescent="0.35">
      <c r="A5" s="1" t="s">
        <v>153</v>
      </c>
      <c r="B5" s="1">
        <v>1</v>
      </c>
      <c r="C5" s="1">
        <v>10</v>
      </c>
      <c r="D5" s="1"/>
      <c r="E5" s="1"/>
      <c r="F5" s="1"/>
      <c r="G5">
        <f t="shared" si="0"/>
        <v>10</v>
      </c>
      <c r="H5" s="18"/>
      <c r="I5" s="3"/>
      <c r="K5">
        <v>2</v>
      </c>
      <c r="L5" s="8" t="s">
        <v>174</v>
      </c>
      <c r="M5" s="8">
        <v>30</v>
      </c>
      <c r="N5" s="8" t="s">
        <v>181</v>
      </c>
      <c r="O5" s="8">
        <v>30</v>
      </c>
      <c r="P5" s="8">
        <v>1</v>
      </c>
    </row>
    <row r="6" spans="1:16" x14ac:dyDescent="0.35">
      <c r="A6" s="1" t="s">
        <v>154</v>
      </c>
      <c r="B6" s="1">
        <v>1</v>
      </c>
      <c r="C6" s="1">
        <v>20</v>
      </c>
      <c r="D6" s="1"/>
      <c r="E6" s="1"/>
      <c r="F6" s="1"/>
      <c r="G6">
        <f t="shared" si="0"/>
        <v>20</v>
      </c>
      <c r="H6" s="18"/>
      <c r="I6" s="3"/>
      <c r="K6">
        <v>2</v>
      </c>
      <c r="L6" s="8" t="s">
        <v>176</v>
      </c>
      <c r="M6" s="8">
        <v>52</v>
      </c>
      <c r="N6" s="1" t="s">
        <v>169</v>
      </c>
      <c r="O6">
        <v>46</v>
      </c>
      <c r="P6">
        <v>3</v>
      </c>
    </row>
    <row r="7" spans="1:16" x14ac:dyDescent="0.35">
      <c r="A7" s="1" t="s">
        <v>155</v>
      </c>
      <c r="B7" s="1">
        <v>1</v>
      </c>
      <c r="C7" s="1">
        <v>10</v>
      </c>
      <c r="D7" s="1"/>
      <c r="E7" s="1"/>
      <c r="F7" s="1"/>
      <c r="G7">
        <f t="shared" si="0"/>
        <v>10</v>
      </c>
      <c r="H7" s="18"/>
      <c r="I7" s="3"/>
      <c r="K7">
        <v>5</v>
      </c>
      <c r="L7" t="s">
        <v>182</v>
      </c>
      <c r="M7">
        <v>50</v>
      </c>
      <c r="N7" t="s">
        <v>180</v>
      </c>
      <c r="O7">
        <v>30</v>
      </c>
      <c r="P7">
        <v>2</v>
      </c>
    </row>
    <row r="8" spans="1:16" x14ac:dyDescent="0.35">
      <c r="A8" s="1" t="s">
        <v>157</v>
      </c>
      <c r="B8" s="1">
        <v>9</v>
      </c>
      <c r="C8" s="1">
        <v>4</v>
      </c>
      <c r="D8" s="1"/>
      <c r="E8" s="1"/>
      <c r="F8" s="1"/>
      <c r="G8">
        <f t="shared" si="0"/>
        <v>36</v>
      </c>
      <c r="H8" s="3"/>
      <c r="K8">
        <v>2</v>
      </c>
      <c r="L8" s="1" t="s">
        <v>160</v>
      </c>
      <c r="M8">
        <v>46</v>
      </c>
      <c r="N8" t="s">
        <v>156</v>
      </c>
      <c r="O8">
        <v>36</v>
      </c>
      <c r="P8">
        <v>2</v>
      </c>
    </row>
    <row r="9" spans="1:16" x14ac:dyDescent="0.35">
      <c r="A9" s="1" t="s">
        <v>158</v>
      </c>
      <c r="B9" s="1">
        <v>5</v>
      </c>
      <c r="C9" s="1">
        <v>10</v>
      </c>
      <c r="D9" s="1"/>
      <c r="E9" s="1"/>
      <c r="F9" s="1"/>
      <c r="G9">
        <f t="shared" si="0"/>
        <v>50</v>
      </c>
      <c r="H9" s="1"/>
      <c r="N9" t="s">
        <v>262</v>
      </c>
      <c r="O9">
        <v>16</v>
      </c>
    </row>
    <row r="10" spans="1:16" x14ac:dyDescent="0.35">
      <c r="A10" s="1" t="s">
        <v>159</v>
      </c>
      <c r="B10" s="1">
        <v>1</v>
      </c>
      <c r="C10" s="1">
        <v>30</v>
      </c>
      <c r="D10" s="1"/>
      <c r="E10" s="1"/>
      <c r="F10" s="1"/>
      <c r="G10">
        <f t="shared" si="0"/>
        <v>30</v>
      </c>
      <c r="H10" s="1"/>
      <c r="N10" s="1"/>
    </row>
    <row r="11" spans="1:16" x14ac:dyDescent="0.35">
      <c r="A11" s="1" t="s">
        <v>160</v>
      </c>
      <c r="B11" s="1">
        <v>1</v>
      </c>
      <c r="C11" s="1">
        <v>30</v>
      </c>
      <c r="D11" s="1">
        <v>4</v>
      </c>
      <c r="E11" s="1">
        <v>4</v>
      </c>
      <c r="F11" s="1">
        <v>8</v>
      </c>
      <c r="G11">
        <f t="shared" si="0"/>
        <v>46</v>
      </c>
      <c r="H11" s="1"/>
      <c r="L11" t="s">
        <v>173</v>
      </c>
      <c r="M11">
        <f>SUM(M2:M10)</f>
        <v>294</v>
      </c>
      <c r="N11" t="s">
        <v>173</v>
      </c>
      <c r="O11">
        <f>SUM(O2:O10)</f>
        <v>264</v>
      </c>
    </row>
    <row r="12" spans="1:16" x14ac:dyDescent="0.35">
      <c r="A12" s="1" t="s">
        <v>161</v>
      </c>
      <c r="B12" s="1">
        <v>1</v>
      </c>
      <c r="C12" s="1">
        <v>16</v>
      </c>
      <c r="D12" s="1"/>
      <c r="E12" s="1"/>
      <c r="F12" s="1"/>
      <c r="G12">
        <f t="shared" si="0"/>
        <v>16</v>
      </c>
      <c r="H12" s="18">
        <v>26</v>
      </c>
      <c r="M12">
        <f>M11+M8*0.5</f>
        <v>317</v>
      </c>
      <c r="O12">
        <f>O11+O6*0.5</f>
        <v>287</v>
      </c>
    </row>
    <row r="13" spans="1:16" x14ac:dyDescent="0.35">
      <c r="A13" s="1" t="s">
        <v>162</v>
      </c>
      <c r="B13" s="1">
        <v>1</v>
      </c>
      <c r="C13" s="1">
        <v>10</v>
      </c>
      <c r="D13" s="1"/>
      <c r="E13" s="1"/>
      <c r="F13" s="1"/>
      <c r="G13">
        <f t="shared" si="0"/>
        <v>10</v>
      </c>
      <c r="H13" s="18"/>
    </row>
    <row r="14" spans="1:16" x14ac:dyDescent="0.35">
      <c r="A14" s="1" t="s">
        <v>163</v>
      </c>
      <c r="B14" s="1">
        <v>1</v>
      </c>
      <c r="C14" s="1">
        <v>16</v>
      </c>
      <c r="D14" s="1"/>
      <c r="E14" s="1"/>
      <c r="F14" s="1"/>
      <c r="G14">
        <f t="shared" si="0"/>
        <v>16</v>
      </c>
      <c r="H14" s="18">
        <v>32</v>
      </c>
      <c r="O14" t="s">
        <v>179</v>
      </c>
    </row>
    <row r="15" spans="1:16" x14ac:dyDescent="0.35">
      <c r="A15" s="1" t="s">
        <v>164</v>
      </c>
      <c r="B15" s="1">
        <v>1</v>
      </c>
      <c r="C15" s="1">
        <v>16</v>
      </c>
      <c r="D15" s="1"/>
      <c r="E15" s="1"/>
      <c r="F15" s="1"/>
      <c r="G15">
        <f t="shared" si="0"/>
        <v>16</v>
      </c>
      <c r="H15" s="18"/>
    </row>
    <row r="16" spans="1:16" x14ac:dyDescent="0.35">
      <c r="A16" s="1" t="s">
        <v>166</v>
      </c>
      <c r="B16" s="1">
        <v>1</v>
      </c>
      <c r="C16" s="1">
        <v>16</v>
      </c>
      <c r="D16" s="1"/>
      <c r="E16" s="1"/>
      <c r="F16" s="1"/>
      <c r="G16">
        <f t="shared" si="0"/>
        <v>16</v>
      </c>
      <c r="H16" s="18">
        <v>64</v>
      </c>
    </row>
    <row r="17" spans="1:8" x14ac:dyDescent="0.35">
      <c r="A17" s="1" t="s">
        <v>165</v>
      </c>
      <c r="B17" s="1">
        <v>1</v>
      </c>
      <c r="C17" s="1">
        <v>16</v>
      </c>
      <c r="D17" s="1"/>
      <c r="E17" s="1"/>
      <c r="F17" s="1"/>
      <c r="G17">
        <f t="shared" si="0"/>
        <v>16</v>
      </c>
      <c r="H17" s="18"/>
    </row>
    <row r="18" spans="1:8" x14ac:dyDescent="0.35">
      <c r="A18" s="1" t="s">
        <v>167</v>
      </c>
      <c r="B18" s="1">
        <v>1</v>
      </c>
      <c r="C18" s="1">
        <v>16</v>
      </c>
      <c r="D18" s="1"/>
      <c r="E18" s="1"/>
      <c r="F18" s="1"/>
      <c r="G18">
        <f t="shared" si="0"/>
        <v>16</v>
      </c>
      <c r="H18" s="18"/>
    </row>
    <row r="19" spans="1:8" x14ac:dyDescent="0.35">
      <c r="A19" s="1" t="s">
        <v>168</v>
      </c>
      <c r="B19" s="1">
        <v>1</v>
      </c>
      <c r="C19" s="1">
        <v>16</v>
      </c>
      <c r="D19" s="1"/>
      <c r="E19" s="1"/>
      <c r="F19" s="1"/>
      <c r="G19">
        <f t="shared" si="0"/>
        <v>16</v>
      </c>
      <c r="H19" s="18"/>
    </row>
    <row r="20" spans="1:8" x14ac:dyDescent="0.35">
      <c r="A20" s="1" t="s">
        <v>169</v>
      </c>
      <c r="B20" s="1">
        <v>1</v>
      </c>
      <c r="C20" s="1">
        <v>30</v>
      </c>
      <c r="D20" s="1">
        <v>4</v>
      </c>
      <c r="E20" s="1">
        <v>4</v>
      </c>
      <c r="F20" s="1">
        <v>8</v>
      </c>
      <c r="G20" s="1">
        <f t="shared" si="0"/>
        <v>46</v>
      </c>
      <c r="H20" s="1"/>
    </row>
    <row r="21" spans="1:8" x14ac:dyDescent="0.35">
      <c r="A21" s="1"/>
      <c r="B21" s="1"/>
      <c r="C21" s="1"/>
      <c r="D21" s="1"/>
      <c r="E21" s="1"/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1"/>
      <c r="B23" s="1"/>
      <c r="C23" s="1"/>
      <c r="D23" s="1"/>
      <c r="E23" s="1"/>
      <c r="F23" s="1"/>
      <c r="G23" s="1"/>
      <c r="H23" s="1"/>
    </row>
    <row r="24" spans="1:8" x14ac:dyDescent="0.35">
      <c r="A24" s="2" t="s">
        <v>21</v>
      </c>
      <c r="B24" s="2"/>
      <c r="C24" s="1"/>
      <c r="D24" s="1"/>
      <c r="E24" s="1"/>
      <c r="F24" s="1"/>
      <c r="G24" s="1">
        <f>SUM(G2:G23)</f>
        <v>412</v>
      </c>
      <c r="H24" s="1">
        <f>SUM(H2:H9)</f>
        <v>66</v>
      </c>
    </row>
    <row r="25" spans="1:8" x14ac:dyDescent="0.35">
      <c r="A25" s="2"/>
      <c r="B25" s="2"/>
      <c r="C25" s="1"/>
      <c r="D25" s="1"/>
      <c r="E25" s="1"/>
      <c r="F25" s="1"/>
      <c r="G25" s="1"/>
      <c r="H25" s="1"/>
    </row>
    <row r="26" spans="1:8" x14ac:dyDescent="0.35">
      <c r="A26" s="2" t="s">
        <v>19</v>
      </c>
      <c r="B26" s="2"/>
      <c r="C26" s="1"/>
      <c r="D26" s="1"/>
      <c r="E26" s="1"/>
      <c r="F26" s="1"/>
      <c r="G26" s="1"/>
      <c r="H26" s="1"/>
    </row>
    <row r="27" spans="1:8" x14ac:dyDescent="0.35">
      <c r="A27" s="1"/>
      <c r="B27" s="1"/>
      <c r="C27" s="1"/>
      <c r="D27" s="1"/>
      <c r="E27" s="1"/>
      <c r="F27" s="1"/>
      <c r="G27" s="1">
        <f t="shared" ref="G27:G32" si="1">SUM(C27:F27)</f>
        <v>0</v>
      </c>
      <c r="H27" s="3"/>
    </row>
    <row r="28" spans="1:8" x14ac:dyDescent="0.35">
      <c r="A28" s="1"/>
      <c r="B28" s="1"/>
      <c r="C28" s="1"/>
      <c r="D28" s="1"/>
      <c r="E28" s="1"/>
      <c r="F28" s="1"/>
      <c r="G28" s="1">
        <f t="shared" si="1"/>
        <v>0</v>
      </c>
      <c r="H28" s="3"/>
    </row>
    <row r="29" spans="1:8" x14ac:dyDescent="0.35">
      <c r="A29" s="1"/>
      <c r="B29" s="1"/>
      <c r="C29" s="1"/>
      <c r="D29" s="1"/>
      <c r="E29" s="1"/>
      <c r="F29" s="1"/>
      <c r="G29" s="1">
        <f t="shared" si="1"/>
        <v>0</v>
      </c>
      <c r="H29" s="3"/>
    </row>
    <row r="30" spans="1:8" x14ac:dyDescent="0.35">
      <c r="A30" s="1"/>
      <c r="B30" s="1"/>
      <c r="C30" s="1"/>
      <c r="D30" s="1"/>
      <c r="E30" s="1"/>
      <c r="F30" s="1"/>
      <c r="G30" s="1">
        <f t="shared" si="1"/>
        <v>0</v>
      </c>
      <c r="H30" s="3"/>
    </row>
    <row r="31" spans="1:8" x14ac:dyDescent="0.35">
      <c r="A31" s="1"/>
      <c r="B31" s="1"/>
      <c r="C31" s="1"/>
      <c r="D31" s="1"/>
      <c r="E31" s="1"/>
      <c r="F31" s="1"/>
      <c r="G31" s="1">
        <f t="shared" si="1"/>
        <v>0</v>
      </c>
      <c r="H31" s="3"/>
    </row>
    <row r="32" spans="1:8" x14ac:dyDescent="0.35">
      <c r="A32" s="1"/>
      <c r="B32" s="1"/>
      <c r="C32" s="1"/>
      <c r="D32" s="1"/>
      <c r="E32" s="1"/>
      <c r="F32" s="1"/>
      <c r="G32" s="1">
        <f t="shared" si="1"/>
        <v>0</v>
      </c>
      <c r="H32" s="1"/>
    </row>
    <row r="33" spans="1:8" x14ac:dyDescent="0.35">
      <c r="A33" s="1"/>
      <c r="B33" s="1"/>
      <c r="C33" s="1"/>
      <c r="D33" s="1"/>
      <c r="E33" s="1"/>
      <c r="F33" s="1"/>
      <c r="G33" s="1"/>
      <c r="H33" s="1"/>
    </row>
    <row r="34" spans="1:8" x14ac:dyDescent="0.35">
      <c r="A34" s="1"/>
      <c r="B34" s="1"/>
      <c r="C34" s="1"/>
      <c r="D34" s="1"/>
      <c r="E34" s="1"/>
      <c r="F34" s="1"/>
      <c r="G34" s="1"/>
      <c r="H34" s="1"/>
    </row>
    <row r="35" spans="1:8" x14ac:dyDescent="0.35">
      <c r="A35" s="2" t="s">
        <v>3</v>
      </c>
      <c r="B35" s="2"/>
      <c r="C35" s="1"/>
      <c r="D35" s="1"/>
      <c r="E35" s="1"/>
      <c r="F35" s="1"/>
      <c r="G35" s="1">
        <f>SUM(G27:G34)</f>
        <v>0</v>
      </c>
      <c r="H35" s="1">
        <f>SUM(H27:H34)</f>
        <v>0</v>
      </c>
    </row>
    <row r="36" spans="1:8" x14ac:dyDescent="0.35">
      <c r="A36" s="2" t="s">
        <v>1</v>
      </c>
      <c r="B36" s="2"/>
      <c r="C36" s="1"/>
      <c r="D36" s="1"/>
      <c r="E36" s="1"/>
      <c r="F36" s="1"/>
      <c r="G36" s="1">
        <f>G24+G35</f>
        <v>412</v>
      </c>
      <c r="H36" s="1">
        <f>H24+H35</f>
        <v>66</v>
      </c>
    </row>
  </sheetData>
  <mergeCells count="4">
    <mergeCell ref="H16:H19"/>
    <mergeCell ref="H14:H15"/>
    <mergeCell ref="H12:H13"/>
    <mergeCell ref="H3:H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57F5-7E88-4890-A7C9-4021F1F8BAA9}">
  <dimension ref="A1:P48"/>
  <sheetViews>
    <sheetView topLeftCell="B1" workbookViewId="0">
      <selection activeCell="N14" sqref="N14"/>
    </sheetView>
  </sheetViews>
  <sheetFormatPr defaultRowHeight="14.5" x14ac:dyDescent="0.35"/>
  <cols>
    <col min="1" max="1" width="42" bestFit="1" customWidth="1"/>
    <col min="2" max="2" width="29.453125" bestFit="1" customWidth="1"/>
    <col min="4" max="4" width="9.81640625" bestFit="1" customWidth="1"/>
    <col min="5" max="5" width="13.7265625" bestFit="1" customWidth="1"/>
    <col min="6" max="6" width="11.54296875" bestFit="1" customWidth="1"/>
    <col min="7" max="7" width="9.26953125" bestFit="1" customWidth="1"/>
    <col min="12" max="12" width="26.90625" bestFit="1" customWidth="1"/>
    <col min="14" max="14" width="28.6328125" bestFit="1" customWidth="1"/>
  </cols>
  <sheetData>
    <row r="1" spans="1:16" x14ac:dyDescent="0.35">
      <c r="A1" s="2" t="s">
        <v>36</v>
      </c>
      <c r="B1" s="2" t="s">
        <v>35</v>
      </c>
      <c r="C1" s="2" t="s">
        <v>34</v>
      </c>
      <c r="D1" s="2" t="s">
        <v>33</v>
      </c>
      <c r="E1" s="2" t="s">
        <v>32</v>
      </c>
      <c r="F1" s="2" t="s">
        <v>31</v>
      </c>
      <c r="G1" s="2" t="s">
        <v>1</v>
      </c>
      <c r="H1" s="2"/>
      <c r="K1" s="2"/>
      <c r="L1" t="s">
        <v>208</v>
      </c>
      <c r="M1" t="s">
        <v>145</v>
      </c>
      <c r="N1" t="s">
        <v>209</v>
      </c>
      <c r="O1" t="s">
        <v>145</v>
      </c>
    </row>
    <row r="2" spans="1:16" x14ac:dyDescent="0.35">
      <c r="A2" s="1" t="s">
        <v>183</v>
      </c>
      <c r="B2" s="1">
        <v>1</v>
      </c>
      <c r="C2" s="1">
        <v>16</v>
      </c>
      <c r="D2" s="1"/>
      <c r="E2" s="1"/>
      <c r="F2" s="1"/>
      <c r="G2">
        <f>(B2*C2)+D2+E2+F2</f>
        <v>16</v>
      </c>
      <c r="H2" s="3"/>
      <c r="K2">
        <v>2</v>
      </c>
      <c r="L2" t="s">
        <v>264</v>
      </c>
      <c r="M2">
        <v>16</v>
      </c>
      <c r="N2" s="1" t="s">
        <v>156</v>
      </c>
      <c r="O2">
        <v>72</v>
      </c>
      <c r="P2">
        <v>3</v>
      </c>
    </row>
    <row r="3" spans="1:16" x14ac:dyDescent="0.35">
      <c r="A3" s="1" t="s">
        <v>184</v>
      </c>
      <c r="B3" s="1">
        <v>1</v>
      </c>
      <c r="C3" s="1">
        <v>10</v>
      </c>
      <c r="D3" s="1"/>
      <c r="E3" s="1"/>
      <c r="F3" s="1"/>
      <c r="G3">
        <f t="shared" ref="G3:G18" si="0">(B3*C3)+D3+E3+F3</f>
        <v>10</v>
      </c>
      <c r="H3" s="3"/>
      <c r="I3" s="3"/>
      <c r="J3" t="s">
        <v>222</v>
      </c>
      <c r="K3">
        <v>3</v>
      </c>
      <c r="L3" t="s">
        <v>210</v>
      </c>
      <c r="M3">
        <v>90</v>
      </c>
      <c r="N3" s="8"/>
      <c r="O3" s="8"/>
    </row>
    <row r="4" spans="1:16" x14ac:dyDescent="0.35">
      <c r="A4" s="1" t="s">
        <v>185</v>
      </c>
      <c r="B4" s="1">
        <v>1</v>
      </c>
      <c r="C4" s="1">
        <v>10</v>
      </c>
      <c r="D4" s="1"/>
      <c r="E4" s="1"/>
      <c r="F4" s="1"/>
      <c r="G4">
        <f t="shared" si="0"/>
        <v>10</v>
      </c>
      <c r="H4" s="3"/>
      <c r="I4" s="3"/>
      <c r="K4">
        <v>1</v>
      </c>
      <c r="L4" s="12" t="s">
        <v>221</v>
      </c>
      <c r="M4" s="8">
        <v>30</v>
      </c>
      <c r="N4" s="13" t="s">
        <v>205</v>
      </c>
      <c r="O4" s="13">
        <v>30</v>
      </c>
      <c r="P4">
        <v>1</v>
      </c>
    </row>
    <row r="5" spans="1:16" x14ac:dyDescent="0.35">
      <c r="A5" s="1" t="s">
        <v>186</v>
      </c>
      <c r="B5" s="1"/>
      <c r="C5" s="1"/>
      <c r="D5" s="1"/>
      <c r="E5" s="1"/>
      <c r="F5" s="1"/>
      <c r="G5">
        <f t="shared" si="0"/>
        <v>0</v>
      </c>
      <c r="H5" s="3"/>
      <c r="I5" s="3"/>
      <c r="K5">
        <v>2</v>
      </c>
      <c r="L5" s="12" t="s">
        <v>207</v>
      </c>
      <c r="M5" s="13">
        <v>42</v>
      </c>
      <c r="N5" s="8" t="s">
        <v>212</v>
      </c>
      <c r="O5" s="8">
        <v>30</v>
      </c>
      <c r="P5">
        <v>2</v>
      </c>
    </row>
    <row r="6" spans="1:16" x14ac:dyDescent="0.35">
      <c r="A6" s="1" t="s">
        <v>187</v>
      </c>
      <c r="B6" s="1">
        <v>1</v>
      </c>
      <c r="C6" s="1">
        <v>10</v>
      </c>
      <c r="D6" s="1"/>
      <c r="E6" s="1"/>
      <c r="F6" s="1"/>
      <c r="G6">
        <f t="shared" si="0"/>
        <v>10</v>
      </c>
      <c r="H6" s="3"/>
      <c r="I6" s="3"/>
      <c r="K6">
        <v>1</v>
      </c>
      <c r="L6" s="8" t="s">
        <v>215</v>
      </c>
      <c r="M6" s="8">
        <v>36</v>
      </c>
      <c r="N6" s="1" t="s">
        <v>196</v>
      </c>
      <c r="O6">
        <v>30</v>
      </c>
      <c r="P6">
        <v>1</v>
      </c>
    </row>
    <row r="7" spans="1:16" x14ac:dyDescent="0.35">
      <c r="A7" s="1" t="s">
        <v>188</v>
      </c>
      <c r="B7" s="1">
        <v>1</v>
      </c>
      <c r="C7" s="1">
        <v>10</v>
      </c>
      <c r="D7" s="1"/>
      <c r="E7" s="1"/>
      <c r="F7" s="1"/>
      <c r="G7">
        <f t="shared" si="0"/>
        <v>10</v>
      </c>
      <c r="H7" s="3"/>
      <c r="I7" s="3"/>
      <c r="J7" t="s">
        <v>223</v>
      </c>
      <c r="K7">
        <v>2</v>
      </c>
      <c r="L7" t="s">
        <v>211</v>
      </c>
      <c r="M7">
        <v>60</v>
      </c>
      <c r="N7" t="s">
        <v>213</v>
      </c>
      <c r="O7">
        <v>40</v>
      </c>
      <c r="P7">
        <v>2</v>
      </c>
    </row>
    <row r="8" spans="1:16" x14ac:dyDescent="0.35">
      <c r="A8" s="1" t="s">
        <v>189</v>
      </c>
      <c r="B8" s="1">
        <v>1</v>
      </c>
      <c r="C8" s="1">
        <v>10</v>
      </c>
      <c r="D8" s="1"/>
      <c r="E8" s="1"/>
      <c r="F8" s="1"/>
      <c r="G8">
        <f t="shared" si="0"/>
        <v>10</v>
      </c>
      <c r="H8" s="3"/>
      <c r="N8" s="8" t="s">
        <v>214</v>
      </c>
      <c r="O8" s="8">
        <v>30</v>
      </c>
      <c r="P8">
        <v>1</v>
      </c>
    </row>
    <row r="9" spans="1:16" x14ac:dyDescent="0.35">
      <c r="A9" s="1" t="s">
        <v>190</v>
      </c>
      <c r="B9" s="1">
        <v>1</v>
      </c>
      <c r="C9" s="1">
        <v>10</v>
      </c>
      <c r="D9" s="1"/>
      <c r="E9" s="1"/>
      <c r="F9" s="1"/>
      <c r="G9">
        <f t="shared" si="0"/>
        <v>10</v>
      </c>
      <c r="H9" s="1"/>
      <c r="N9" t="s">
        <v>203</v>
      </c>
      <c r="O9">
        <v>30</v>
      </c>
      <c r="P9">
        <v>1</v>
      </c>
    </row>
    <row r="10" spans="1:16" x14ac:dyDescent="0.35">
      <c r="A10" s="1" t="s">
        <v>191</v>
      </c>
      <c r="B10" s="1">
        <v>1</v>
      </c>
      <c r="C10" s="1">
        <v>10</v>
      </c>
      <c r="D10" s="1"/>
      <c r="E10" s="1"/>
      <c r="F10" s="1"/>
      <c r="G10">
        <f t="shared" si="0"/>
        <v>10</v>
      </c>
      <c r="H10" s="1"/>
      <c r="N10" s="1" t="s">
        <v>265</v>
      </c>
      <c r="O10">
        <v>10</v>
      </c>
    </row>
    <row r="11" spans="1:16" x14ac:dyDescent="0.35">
      <c r="A11" s="1" t="s">
        <v>192</v>
      </c>
      <c r="B11" s="1">
        <v>1</v>
      </c>
      <c r="C11" s="1">
        <v>10</v>
      </c>
      <c r="D11" s="1"/>
      <c r="E11" s="1"/>
      <c r="F11" s="1"/>
      <c r="G11">
        <f t="shared" si="0"/>
        <v>10</v>
      </c>
      <c r="H11" s="1"/>
      <c r="L11" t="s">
        <v>173</v>
      </c>
      <c r="M11">
        <f>SUM(M2:M10)</f>
        <v>274</v>
      </c>
      <c r="N11" t="s">
        <v>173</v>
      </c>
      <c r="O11">
        <f>SUM(O2:O10)</f>
        <v>272</v>
      </c>
    </row>
    <row r="12" spans="1:16" x14ac:dyDescent="0.35">
      <c r="A12" s="1" t="s">
        <v>193</v>
      </c>
      <c r="B12" s="1">
        <v>1</v>
      </c>
      <c r="C12" s="1">
        <v>10</v>
      </c>
      <c r="D12" s="1"/>
      <c r="E12" s="1"/>
      <c r="F12" s="1"/>
      <c r="G12">
        <f t="shared" si="0"/>
        <v>10</v>
      </c>
      <c r="H12" s="3"/>
    </row>
    <row r="13" spans="1:16" x14ac:dyDescent="0.35">
      <c r="A13" s="1" t="s">
        <v>194</v>
      </c>
      <c r="B13" s="1">
        <v>1</v>
      </c>
      <c r="C13" s="1">
        <v>10</v>
      </c>
      <c r="D13" s="1"/>
      <c r="E13" s="1"/>
      <c r="F13" s="1"/>
      <c r="G13">
        <f t="shared" si="0"/>
        <v>10</v>
      </c>
      <c r="H13" s="3"/>
    </row>
    <row r="14" spans="1:16" x14ac:dyDescent="0.35">
      <c r="A14" s="1" t="s">
        <v>195</v>
      </c>
      <c r="B14" s="1">
        <v>1</v>
      </c>
      <c r="C14" s="1">
        <v>10</v>
      </c>
      <c r="D14" s="1"/>
      <c r="E14" s="1"/>
      <c r="F14" s="1"/>
      <c r="G14">
        <f t="shared" si="0"/>
        <v>10</v>
      </c>
      <c r="H14" s="3"/>
      <c r="O14" t="s">
        <v>179</v>
      </c>
    </row>
    <row r="15" spans="1:16" x14ac:dyDescent="0.35">
      <c r="A15" s="1" t="s">
        <v>196</v>
      </c>
      <c r="B15" s="1">
        <v>1</v>
      </c>
      <c r="C15" s="1">
        <v>10</v>
      </c>
      <c r="D15" s="1"/>
      <c r="E15" s="1"/>
      <c r="F15" s="1"/>
      <c r="G15">
        <f t="shared" si="0"/>
        <v>10</v>
      </c>
      <c r="H15" s="3"/>
    </row>
    <row r="16" spans="1:16" x14ac:dyDescent="0.35">
      <c r="A16" s="1" t="s">
        <v>197</v>
      </c>
      <c r="B16" s="1">
        <v>1</v>
      </c>
      <c r="C16" s="1">
        <v>10</v>
      </c>
      <c r="D16" s="1"/>
      <c r="E16" s="1"/>
      <c r="F16" s="1"/>
      <c r="G16">
        <f t="shared" si="0"/>
        <v>10</v>
      </c>
      <c r="H16" s="3"/>
    </row>
    <row r="17" spans="1:8" x14ac:dyDescent="0.35">
      <c r="A17" s="1" t="s">
        <v>198</v>
      </c>
      <c r="B17" s="1">
        <v>1</v>
      </c>
      <c r="C17" s="1">
        <v>10</v>
      </c>
      <c r="D17" s="1"/>
      <c r="E17" s="1"/>
      <c r="F17" s="1"/>
      <c r="G17">
        <f t="shared" si="0"/>
        <v>10</v>
      </c>
      <c r="H17" s="3"/>
    </row>
    <row r="18" spans="1:8" x14ac:dyDescent="0.35">
      <c r="A18" s="1" t="s">
        <v>199</v>
      </c>
      <c r="B18" s="1">
        <v>1</v>
      </c>
      <c r="C18" s="1">
        <v>10</v>
      </c>
      <c r="D18" s="1"/>
      <c r="E18" s="1"/>
      <c r="F18" s="1"/>
      <c r="G18">
        <f t="shared" si="0"/>
        <v>10</v>
      </c>
      <c r="H18" s="3"/>
    </row>
    <row r="19" spans="1:8" x14ac:dyDescent="0.35">
      <c r="A19" s="1" t="s">
        <v>200</v>
      </c>
      <c r="B19" s="1">
        <v>1</v>
      </c>
      <c r="C19" s="1">
        <v>10</v>
      </c>
      <c r="D19" s="1"/>
      <c r="E19" s="1"/>
      <c r="F19" s="1"/>
      <c r="G19">
        <f t="shared" ref="G19:G24" si="1">(B19*C19)+D19+E19+F19</f>
        <v>10</v>
      </c>
      <c r="H19" s="3"/>
    </row>
    <row r="20" spans="1:8" x14ac:dyDescent="0.35">
      <c r="A20" s="1" t="s">
        <v>201</v>
      </c>
      <c r="B20" s="1">
        <v>1</v>
      </c>
      <c r="C20" s="1">
        <v>10</v>
      </c>
      <c r="D20" s="1"/>
      <c r="E20" s="1"/>
      <c r="F20" s="1"/>
      <c r="G20">
        <f t="shared" si="1"/>
        <v>10</v>
      </c>
      <c r="H20" s="1"/>
    </row>
    <row r="21" spans="1:8" x14ac:dyDescent="0.35">
      <c r="A21" s="1" t="s">
        <v>202</v>
      </c>
      <c r="B21" s="1">
        <v>1</v>
      </c>
      <c r="C21" s="1">
        <v>10</v>
      </c>
      <c r="D21" s="1"/>
      <c r="E21" s="1"/>
      <c r="F21" s="1"/>
      <c r="G21">
        <f t="shared" si="1"/>
        <v>10</v>
      </c>
      <c r="H21" s="1"/>
    </row>
    <row r="22" spans="1:8" x14ac:dyDescent="0.35">
      <c r="A22" s="1" t="s">
        <v>203</v>
      </c>
      <c r="B22" s="1"/>
      <c r="C22" s="1"/>
      <c r="D22" s="1"/>
      <c r="E22" s="1"/>
      <c r="F22" s="1"/>
      <c r="G22">
        <f t="shared" si="1"/>
        <v>0</v>
      </c>
      <c r="H22" s="1"/>
    </row>
    <row r="23" spans="1:8" x14ac:dyDescent="0.35">
      <c r="A23" s="1" t="s">
        <v>204</v>
      </c>
      <c r="B23" s="1">
        <v>1</v>
      </c>
      <c r="C23" s="1">
        <v>10</v>
      </c>
      <c r="D23" s="1"/>
      <c r="E23" s="1"/>
      <c r="F23" s="1"/>
      <c r="G23">
        <f t="shared" si="1"/>
        <v>10</v>
      </c>
      <c r="H23" s="1"/>
    </row>
    <row r="24" spans="1:8" x14ac:dyDescent="0.35">
      <c r="A24" s="1" t="s">
        <v>205</v>
      </c>
      <c r="B24" s="1">
        <v>1</v>
      </c>
      <c r="C24" s="1">
        <v>10</v>
      </c>
      <c r="D24" s="1"/>
      <c r="E24" s="1"/>
      <c r="F24" s="1"/>
      <c r="G24">
        <f t="shared" si="1"/>
        <v>10</v>
      </c>
      <c r="H24" s="1"/>
    </row>
    <row r="25" spans="1:8" x14ac:dyDescent="0.35">
      <c r="A25" s="1" t="s">
        <v>206</v>
      </c>
      <c r="B25" s="1">
        <v>1</v>
      </c>
      <c r="C25" s="1">
        <v>10</v>
      </c>
      <c r="D25" s="1"/>
      <c r="E25" s="1"/>
      <c r="F25" s="1"/>
      <c r="G25">
        <f t="shared" ref="G25:G33" si="2">(B25*C25)+D25+E25+F25</f>
        <v>10</v>
      </c>
      <c r="H25" s="1"/>
    </row>
    <row r="26" spans="1:8" x14ac:dyDescent="0.35">
      <c r="A26" s="11" t="s">
        <v>207</v>
      </c>
      <c r="B26" s="1">
        <v>1</v>
      </c>
      <c r="C26" s="1">
        <v>30</v>
      </c>
      <c r="D26" s="1">
        <v>4</v>
      </c>
      <c r="E26" s="1"/>
      <c r="F26" s="1">
        <v>8</v>
      </c>
      <c r="G26">
        <f t="shared" si="2"/>
        <v>42</v>
      </c>
      <c r="H26" s="1"/>
    </row>
    <row r="27" spans="1:8" x14ac:dyDescent="0.35">
      <c r="A27" s="11" t="s">
        <v>156</v>
      </c>
      <c r="B27" s="1">
        <v>12</v>
      </c>
      <c r="C27" s="1">
        <v>6</v>
      </c>
      <c r="D27" s="1"/>
      <c r="E27" s="1"/>
      <c r="F27" s="1"/>
      <c r="G27">
        <f t="shared" si="2"/>
        <v>72</v>
      </c>
      <c r="H27" s="1"/>
    </row>
    <row r="28" spans="1:8" x14ac:dyDescent="0.35">
      <c r="A28" s="11" t="s">
        <v>215</v>
      </c>
      <c r="B28" s="1">
        <v>1</v>
      </c>
      <c r="C28" s="1">
        <v>16</v>
      </c>
      <c r="D28" s="1"/>
      <c r="E28" s="1"/>
      <c r="F28" s="1"/>
      <c r="G28">
        <f t="shared" si="2"/>
        <v>16</v>
      </c>
      <c r="H28" s="1"/>
    </row>
    <row r="29" spans="1:8" x14ac:dyDescent="0.35">
      <c r="A29" s="11" t="s">
        <v>216</v>
      </c>
      <c r="B29" s="1">
        <v>1</v>
      </c>
      <c r="C29" s="1">
        <v>10</v>
      </c>
      <c r="D29" s="1"/>
      <c r="E29" s="1"/>
      <c r="F29" s="1"/>
      <c r="G29">
        <f t="shared" si="2"/>
        <v>10</v>
      </c>
      <c r="H29" s="1"/>
    </row>
    <row r="30" spans="1:8" x14ac:dyDescent="0.35">
      <c r="A30" s="11" t="s">
        <v>217</v>
      </c>
      <c r="B30" s="1">
        <v>1</v>
      </c>
      <c r="C30" s="1">
        <v>10</v>
      </c>
      <c r="D30" s="1"/>
      <c r="E30" s="1"/>
      <c r="F30" s="1"/>
      <c r="G30">
        <f t="shared" si="2"/>
        <v>10</v>
      </c>
      <c r="H30" s="1"/>
    </row>
    <row r="31" spans="1:8" x14ac:dyDescent="0.35">
      <c r="A31" s="11" t="s">
        <v>218</v>
      </c>
      <c r="B31" s="1"/>
      <c r="C31" s="1"/>
      <c r="D31" s="1"/>
      <c r="E31" s="1"/>
      <c r="F31" s="1"/>
      <c r="G31">
        <f t="shared" si="2"/>
        <v>0</v>
      </c>
      <c r="H31" s="1"/>
    </row>
    <row r="32" spans="1:8" x14ac:dyDescent="0.35">
      <c r="A32" s="11" t="s">
        <v>219</v>
      </c>
      <c r="B32" s="1">
        <v>1</v>
      </c>
      <c r="C32" s="1">
        <v>10</v>
      </c>
      <c r="D32" s="1"/>
      <c r="E32" s="1"/>
      <c r="F32" s="1"/>
      <c r="G32">
        <f t="shared" si="2"/>
        <v>10</v>
      </c>
      <c r="H32" s="1"/>
    </row>
    <row r="33" spans="1:8" x14ac:dyDescent="0.35">
      <c r="A33" s="11" t="s">
        <v>220</v>
      </c>
      <c r="B33" s="1">
        <v>1</v>
      </c>
      <c r="C33" s="1">
        <v>30</v>
      </c>
      <c r="D33" s="1">
        <v>4</v>
      </c>
      <c r="E33" s="1">
        <v>4</v>
      </c>
      <c r="F33" s="1">
        <v>8</v>
      </c>
      <c r="G33">
        <f t="shared" si="2"/>
        <v>46</v>
      </c>
      <c r="H33" s="1"/>
    </row>
    <row r="34" spans="1:8" x14ac:dyDescent="0.35">
      <c r="A34" s="11"/>
      <c r="B34" s="1"/>
      <c r="C34" s="1"/>
      <c r="D34" s="1"/>
      <c r="E34" s="1"/>
      <c r="F34" s="1"/>
      <c r="H34" s="1"/>
    </row>
    <row r="35" spans="1:8" x14ac:dyDescent="0.35">
      <c r="A35" s="1"/>
      <c r="B35" s="1"/>
      <c r="C35" s="1"/>
      <c r="D35" s="1"/>
      <c r="E35" s="1"/>
      <c r="F35" s="1"/>
      <c r="H35" s="1"/>
    </row>
    <row r="36" spans="1:8" x14ac:dyDescent="0.35">
      <c r="A36" s="2" t="s">
        <v>21</v>
      </c>
      <c r="B36" s="2"/>
      <c r="C36" s="1"/>
      <c r="D36" s="1"/>
      <c r="E36" s="1"/>
      <c r="F36" s="1"/>
      <c r="G36" s="1">
        <f>SUM(G2:G30)</f>
        <v>376</v>
      </c>
      <c r="H36" s="1">
        <f>SUM(H2:H9)</f>
        <v>0</v>
      </c>
    </row>
    <row r="37" spans="1:8" x14ac:dyDescent="0.35">
      <c r="A37" s="2"/>
      <c r="B37" s="2"/>
      <c r="C37" s="1"/>
      <c r="D37" s="1"/>
      <c r="E37" s="1"/>
      <c r="F37" s="1"/>
      <c r="G37" s="1"/>
      <c r="H37" s="1"/>
    </row>
    <row r="38" spans="1:8" x14ac:dyDescent="0.35">
      <c r="A38" s="2" t="s">
        <v>19</v>
      </c>
      <c r="B38" s="2"/>
      <c r="C38" s="1"/>
      <c r="D38" s="1"/>
      <c r="E38" s="1"/>
      <c r="F38" s="1"/>
      <c r="G38" s="1"/>
      <c r="H38" s="1"/>
    </row>
    <row r="39" spans="1:8" x14ac:dyDescent="0.35">
      <c r="A39" s="1"/>
      <c r="B39" s="1"/>
      <c r="C39" s="1"/>
      <c r="D39" s="1"/>
      <c r="E39" s="1"/>
      <c r="F39" s="1"/>
      <c r="G39" s="1">
        <f t="shared" ref="G39:G44" si="3">SUM(C39:F39)</f>
        <v>0</v>
      </c>
      <c r="H39" s="3"/>
    </row>
    <row r="40" spans="1:8" x14ac:dyDescent="0.35">
      <c r="A40" s="1"/>
      <c r="B40" s="1"/>
      <c r="C40" s="1"/>
      <c r="D40" s="1"/>
      <c r="E40" s="1"/>
      <c r="F40" s="1"/>
      <c r="G40" s="1">
        <f t="shared" si="3"/>
        <v>0</v>
      </c>
      <c r="H40" s="3"/>
    </row>
    <row r="41" spans="1:8" x14ac:dyDescent="0.35">
      <c r="A41" s="1"/>
      <c r="B41" s="1"/>
      <c r="C41" s="1"/>
      <c r="D41" s="1"/>
      <c r="E41" s="1"/>
      <c r="F41" s="1"/>
      <c r="G41" s="1">
        <f t="shared" si="3"/>
        <v>0</v>
      </c>
      <c r="H41" s="3"/>
    </row>
    <row r="42" spans="1:8" x14ac:dyDescent="0.35">
      <c r="A42" s="1"/>
      <c r="B42" s="1"/>
      <c r="C42" s="1"/>
      <c r="D42" s="1"/>
      <c r="E42" s="1"/>
      <c r="F42" s="1"/>
      <c r="G42" s="1">
        <f t="shared" si="3"/>
        <v>0</v>
      </c>
      <c r="H42" s="3"/>
    </row>
    <row r="43" spans="1:8" x14ac:dyDescent="0.35">
      <c r="A43" s="1"/>
      <c r="B43" s="1"/>
      <c r="C43" s="1"/>
      <c r="D43" s="1"/>
      <c r="E43" s="1"/>
      <c r="F43" s="1"/>
      <c r="G43" s="1">
        <f t="shared" si="3"/>
        <v>0</v>
      </c>
      <c r="H43" s="3"/>
    </row>
    <row r="44" spans="1:8" x14ac:dyDescent="0.35">
      <c r="A44" s="1"/>
      <c r="B44" s="1"/>
      <c r="C44" s="1"/>
      <c r="D44" s="1"/>
      <c r="E44" s="1"/>
      <c r="F44" s="1"/>
      <c r="G44" s="1">
        <f t="shared" si="3"/>
        <v>0</v>
      </c>
      <c r="H44" s="1"/>
    </row>
    <row r="45" spans="1:8" x14ac:dyDescent="0.35">
      <c r="A45" s="1"/>
      <c r="B45" s="1"/>
      <c r="C45" s="1"/>
      <c r="D45" s="1"/>
      <c r="E45" s="1"/>
      <c r="F45" s="1"/>
      <c r="G45" s="1"/>
      <c r="H45" s="1"/>
    </row>
    <row r="46" spans="1:8" x14ac:dyDescent="0.35">
      <c r="A46" s="1"/>
      <c r="B46" s="1"/>
      <c r="C46" s="1"/>
      <c r="D46" s="1"/>
      <c r="E46" s="1"/>
      <c r="F46" s="1"/>
      <c r="G46" s="1"/>
      <c r="H46" s="1"/>
    </row>
    <row r="47" spans="1:8" x14ac:dyDescent="0.35">
      <c r="A47" s="2" t="s">
        <v>3</v>
      </c>
      <c r="B47" s="2"/>
      <c r="C47" s="1"/>
      <c r="D47" s="1"/>
      <c r="E47" s="1"/>
      <c r="F47" s="1"/>
      <c r="G47" s="1">
        <f>SUM(G39:G46)</f>
        <v>0</v>
      </c>
      <c r="H47" s="1">
        <f>SUM(H39:H46)</f>
        <v>0</v>
      </c>
    </row>
    <row r="48" spans="1:8" x14ac:dyDescent="0.35">
      <c r="A48" s="2" t="s">
        <v>1</v>
      </c>
      <c r="B48" s="2"/>
      <c r="C48" s="1"/>
      <c r="D48" s="1"/>
      <c r="E48" s="1"/>
      <c r="F48" s="1"/>
      <c r="G48" s="1">
        <f>G36+G47</f>
        <v>376</v>
      </c>
      <c r="H48" s="1">
        <f>H36+H47</f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C6FB-BFB5-4C35-92F4-87AD55CB0E6A}">
  <dimension ref="A1:R52"/>
  <sheetViews>
    <sheetView tabSelected="1" topLeftCell="B1" workbookViewId="0">
      <selection activeCell="M13" sqref="M13"/>
    </sheetView>
  </sheetViews>
  <sheetFormatPr defaultRowHeight="14.5" x14ac:dyDescent="0.35"/>
  <cols>
    <col min="1" max="1" width="42" bestFit="1" customWidth="1"/>
    <col min="2" max="2" width="29.453125" bestFit="1" customWidth="1"/>
    <col min="4" max="4" width="9.81640625" bestFit="1" customWidth="1"/>
    <col min="5" max="5" width="13.7265625" bestFit="1" customWidth="1"/>
    <col min="6" max="6" width="11.54296875" bestFit="1" customWidth="1"/>
    <col min="7" max="7" width="9.26953125" bestFit="1" customWidth="1"/>
    <col min="11" max="11" width="12.08984375" customWidth="1"/>
    <col min="12" max="12" width="26.90625" bestFit="1" customWidth="1"/>
    <col min="15" max="15" width="28.6328125" bestFit="1" customWidth="1"/>
    <col min="17" max="17" width="9.54296875" bestFit="1" customWidth="1"/>
  </cols>
  <sheetData>
    <row r="1" spans="1:18" x14ac:dyDescent="0.35">
      <c r="A1" s="2" t="s">
        <v>36</v>
      </c>
      <c r="B1" s="2" t="s">
        <v>35</v>
      </c>
      <c r="C1" s="2" t="s">
        <v>34</v>
      </c>
      <c r="D1" s="2" t="s">
        <v>33</v>
      </c>
      <c r="E1" s="2" t="s">
        <v>32</v>
      </c>
      <c r="F1" s="2" t="s">
        <v>31</v>
      </c>
      <c r="G1" s="2" t="s">
        <v>1</v>
      </c>
      <c r="H1" s="2"/>
      <c r="K1" s="2"/>
      <c r="L1" t="s">
        <v>242</v>
      </c>
      <c r="M1" t="s">
        <v>145</v>
      </c>
      <c r="O1" t="s">
        <v>243</v>
      </c>
      <c r="P1" t="s">
        <v>145</v>
      </c>
      <c r="Q1" t="s">
        <v>254</v>
      </c>
      <c r="R1" t="s">
        <v>145</v>
      </c>
    </row>
    <row r="2" spans="1:18" x14ac:dyDescent="0.35">
      <c r="A2" s="10" t="s">
        <v>224</v>
      </c>
      <c r="B2" s="1">
        <v>1</v>
      </c>
      <c r="C2" s="1">
        <v>10</v>
      </c>
      <c r="D2" s="1"/>
      <c r="E2" s="1"/>
      <c r="F2" s="1"/>
      <c r="G2">
        <f>(B2*C2)+D2+E2+F2</f>
        <v>10</v>
      </c>
      <c r="H2" s="3"/>
      <c r="K2">
        <v>1</v>
      </c>
      <c r="L2" s="1" t="s">
        <v>256</v>
      </c>
      <c r="M2" s="17">
        <v>40</v>
      </c>
      <c r="N2" s="17">
        <v>1</v>
      </c>
      <c r="O2" s="15" t="s">
        <v>259</v>
      </c>
      <c r="P2">
        <v>36</v>
      </c>
    </row>
    <row r="3" spans="1:18" x14ac:dyDescent="0.35">
      <c r="A3" s="10" t="s">
        <v>225</v>
      </c>
      <c r="B3" s="1">
        <v>1</v>
      </c>
      <c r="C3" s="1">
        <v>10</v>
      </c>
      <c r="D3" s="1"/>
      <c r="E3" s="1"/>
      <c r="F3" s="1"/>
      <c r="G3">
        <f t="shared" ref="G3:G34" si="0">(B3*C3)+D3+E3+F3</f>
        <v>10</v>
      </c>
      <c r="H3" s="3"/>
      <c r="I3" s="3"/>
      <c r="K3">
        <v>1</v>
      </c>
      <c r="L3" s="1" t="s">
        <v>255</v>
      </c>
      <c r="M3" s="17">
        <v>20</v>
      </c>
      <c r="N3" s="17">
        <v>1</v>
      </c>
      <c r="O3" s="14" t="s">
        <v>238</v>
      </c>
      <c r="P3">
        <v>30</v>
      </c>
    </row>
    <row r="4" spans="1:18" x14ac:dyDescent="0.35">
      <c r="A4" s="10" t="s">
        <v>226</v>
      </c>
      <c r="B4" s="1">
        <v>1</v>
      </c>
      <c r="C4" s="1">
        <v>10</v>
      </c>
      <c r="D4" s="1"/>
      <c r="E4" s="1"/>
      <c r="F4" s="1"/>
      <c r="G4">
        <f t="shared" si="0"/>
        <v>10</v>
      </c>
      <c r="H4" s="3"/>
      <c r="I4" s="3"/>
      <c r="K4">
        <v>1</v>
      </c>
      <c r="L4" s="11" t="s">
        <v>257</v>
      </c>
      <c r="M4">
        <v>26</v>
      </c>
      <c r="N4">
        <v>2</v>
      </c>
      <c r="O4" s="14" t="s">
        <v>239</v>
      </c>
      <c r="P4">
        <v>30</v>
      </c>
    </row>
    <row r="5" spans="1:18" x14ac:dyDescent="0.35">
      <c r="A5" s="10" t="s">
        <v>227</v>
      </c>
      <c r="B5" s="1">
        <v>1</v>
      </c>
      <c r="C5" s="1">
        <v>10</v>
      </c>
      <c r="D5" s="1"/>
      <c r="E5" s="1"/>
      <c r="F5" s="1"/>
      <c r="G5">
        <f t="shared" si="0"/>
        <v>10</v>
      </c>
      <c r="H5" s="3"/>
      <c r="I5" s="3"/>
      <c r="K5">
        <v>1</v>
      </c>
      <c r="L5" s="11" t="s">
        <v>228</v>
      </c>
      <c r="M5">
        <v>26</v>
      </c>
      <c r="N5">
        <v>1</v>
      </c>
      <c r="O5" s="11" t="s">
        <v>234</v>
      </c>
      <c r="P5">
        <v>20</v>
      </c>
    </row>
    <row r="6" spans="1:18" x14ac:dyDescent="0.35">
      <c r="A6" s="1" t="s">
        <v>228</v>
      </c>
      <c r="B6" s="1">
        <v>1</v>
      </c>
      <c r="C6" s="1">
        <v>16</v>
      </c>
      <c r="D6" s="1"/>
      <c r="E6" s="1"/>
      <c r="F6" s="1"/>
      <c r="G6">
        <f t="shared" si="0"/>
        <v>16</v>
      </c>
      <c r="H6" s="3"/>
      <c r="I6" s="3"/>
      <c r="K6">
        <v>1</v>
      </c>
      <c r="L6" s="16" t="s">
        <v>13</v>
      </c>
      <c r="M6">
        <v>30</v>
      </c>
      <c r="N6">
        <v>3</v>
      </c>
      <c r="O6" s="11" t="s">
        <v>143</v>
      </c>
      <c r="P6">
        <v>52</v>
      </c>
      <c r="Q6" s="1"/>
    </row>
    <row r="7" spans="1:18" x14ac:dyDescent="0.35">
      <c r="A7" s="1" t="s">
        <v>229</v>
      </c>
      <c r="B7" s="1">
        <v>1</v>
      </c>
      <c r="C7" s="1">
        <v>10</v>
      </c>
      <c r="D7" s="1"/>
      <c r="E7" s="1"/>
      <c r="F7" s="1"/>
      <c r="G7">
        <f t="shared" si="0"/>
        <v>10</v>
      </c>
      <c r="H7" s="3"/>
      <c r="I7" s="3"/>
      <c r="K7">
        <v>1</v>
      </c>
      <c r="L7" s="11" t="s">
        <v>240</v>
      </c>
      <c r="M7">
        <v>16</v>
      </c>
      <c r="N7">
        <v>1</v>
      </c>
      <c r="O7" s="16" t="s">
        <v>258</v>
      </c>
      <c r="P7">
        <v>46</v>
      </c>
    </row>
    <row r="8" spans="1:18" x14ac:dyDescent="0.35">
      <c r="A8" s="1"/>
      <c r="B8" s="1"/>
      <c r="C8" s="1"/>
      <c r="D8" s="1"/>
      <c r="E8" s="1"/>
      <c r="F8" s="1"/>
      <c r="G8">
        <f>(B8*C8)+D8+E8+F8</f>
        <v>0</v>
      </c>
      <c r="H8" s="3"/>
      <c r="K8">
        <v>1</v>
      </c>
      <c r="L8" s="16" t="s">
        <v>237</v>
      </c>
      <c r="M8">
        <v>30</v>
      </c>
      <c r="N8">
        <v>2</v>
      </c>
      <c r="O8" s="1" t="s">
        <v>172</v>
      </c>
      <c r="P8">
        <v>20</v>
      </c>
    </row>
    <row r="9" spans="1:18" x14ac:dyDescent="0.35">
      <c r="A9" s="1"/>
      <c r="B9" s="1"/>
      <c r="C9" s="1"/>
      <c r="D9" s="1"/>
      <c r="E9" s="1"/>
      <c r="F9" s="1"/>
      <c r="G9">
        <f>(B9*C9)+D9+E9+F9</f>
        <v>0</v>
      </c>
      <c r="H9" s="1"/>
      <c r="K9">
        <v>2</v>
      </c>
      <c r="L9" s="16" t="s">
        <v>260</v>
      </c>
      <c r="M9">
        <v>42</v>
      </c>
    </row>
    <row r="10" spans="1:18" x14ac:dyDescent="0.35">
      <c r="A10" s="1"/>
      <c r="B10" s="1"/>
      <c r="C10" s="1"/>
      <c r="D10" s="1"/>
      <c r="E10" s="1"/>
      <c r="F10" s="1"/>
      <c r="H10" s="1"/>
      <c r="K10">
        <v>1</v>
      </c>
      <c r="L10" s="11" t="s">
        <v>241</v>
      </c>
      <c r="M10">
        <v>10</v>
      </c>
    </row>
    <row r="11" spans="1:18" x14ac:dyDescent="0.35">
      <c r="A11" s="1"/>
      <c r="B11" s="1"/>
      <c r="C11" s="1"/>
      <c r="D11" s="1"/>
      <c r="E11" s="1"/>
      <c r="F11" s="1"/>
      <c r="G11">
        <f>(B11*C11)+D11+E11+F11</f>
        <v>0</v>
      </c>
      <c r="H11" s="1"/>
      <c r="K11">
        <v>1</v>
      </c>
      <c r="L11" s="1" t="s">
        <v>261</v>
      </c>
      <c r="M11">
        <v>16</v>
      </c>
      <c r="O11" s="1"/>
      <c r="Q11" s="1"/>
    </row>
    <row r="12" spans="1:18" x14ac:dyDescent="0.35">
      <c r="A12" s="1"/>
      <c r="B12" s="1"/>
      <c r="C12" s="1"/>
      <c r="D12" s="1"/>
      <c r="E12" s="1"/>
      <c r="F12" s="1"/>
      <c r="H12" s="1"/>
      <c r="K12" t="s">
        <v>266</v>
      </c>
      <c r="L12" s="1"/>
      <c r="M12">
        <v>10</v>
      </c>
      <c r="O12" s="1"/>
      <c r="P12">
        <v>20</v>
      </c>
      <c r="Q12" s="1"/>
    </row>
    <row r="13" spans="1:18" x14ac:dyDescent="0.35">
      <c r="A13" s="10" t="s">
        <v>233</v>
      </c>
      <c r="B13" s="1">
        <v>1</v>
      </c>
      <c r="C13" s="1">
        <v>16</v>
      </c>
      <c r="D13" s="1"/>
      <c r="E13" s="1"/>
      <c r="F13" s="1"/>
      <c r="G13">
        <f t="shared" si="0"/>
        <v>16</v>
      </c>
      <c r="H13" s="1"/>
      <c r="L13" t="s">
        <v>173</v>
      </c>
      <c r="M13">
        <f>SUM(M2:M12)</f>
        <v>266</v>
      </c>
      <c r="O13" t="s">
        <v>173</v>
      </c>
      <c r="P13">
        <f>SUM(P2:P12)</f>
        <v>254</v>
      </c>
      <c r="Q13" t="s">
        <v>173</v>
      </c>
      <c r="R13">
        <f>SUM(R2:R11)</f>
        <v>0</v>
      </c>
    </row>
    <row r="14" spans="1:18" x14ac:dyDescent="0.35">
      <c r="A14" s="10" t="s">
        <v>234</v>
      </c>
      <c r="B14" s="1">
        <v>1</v>
      </c>
      <c r="C14" s="1">
        <v>10</v>
      </c>
      <c r="D14" s="1"/>
      <c r="E14" s="1"/>
      <c r="F14" s="1"/>
      <c r="G14">
        <f t="shared" si="0"/>
        <v>10</v>
      </c>
      <c r="H14" s="3"/>
    </row>
    <row r="15" spans="1:18" x14ac:dyDescent="0.35">
      <c r="A15" s="10" t="s">
        <v>235</v>
      </c>
      <c r="B15" s="1">
        <v>1</v>
      </c>
      <c r="C15" s="1">
        <v>10</v>
      </c>
      <c r="D15" s="1"/>
      <c r="E15" s="1"/>
      <c r="F15" s="1"/>
      <c r="G15">
        <f t="shared" si="0"/>
        <v>10</v>
      </c>
      <c r="H15" s="3"/>
    </row>
    <row r="16" spans="1:18" x14ac:dyDescent="0.35">
      <c r="A16" s="10" t="s">
        <v>236</v>
      </c>
      <c r="B16" s="1">
        <v>1</v>
      </c>
      <c r="C16" s="1">
        <v>16</v>
      </c>
      <c r="D16" s="1"/>
      <c r="E16" s="1"/>
      <c r="F16" s="1"/>
      <c r="G16">
        <f t="shared" si="0"/>
        <v>16</v>
      </c>
      <c r="H16" s="3"/>
      <c r="P16" t="s">
        <v>179</v>
      </c>
    </row>
    <row r="17" spans="1:8" x14ac:dyDescent="0.35">
      <c r="A17" s="1"/>
      <c r="B17" s="1"/>
      <c r="C17" s="1"/>
      <c r="D17" s="1"/>
      <c r="E17" s="1"/>
      <c r="F17" s="1"/>
      <c r="G17">
        <f>(B17*C17)+D17+E17+F17</f>
        <v>0</v>
      </c>
      <c r="H17" s="3"/>
    </row>
    <row r="18" spans="1:8" x14ac:dyDescent="0.35">
      <c r="A18" s="1"/>
      <c r="B18" s="1"/>
      <c r="C18" s="1"/>
      <c r="D18" s="1"/>
      <c r="E18" s="1"/>
      <c r="F18" s="1"/>
      <c r="G18">
        <f t="shared" si="0"/>
        <v>0</v>
      </c>
      <c r="H18" s="3"/>
    </row>
    <row r="19" spans="1:8" x14ac:dyDescent="0.35">
      <c r="A19" s="1" t="s">
        <v>239</v>
      </c>
      <c r="B19" s="1">
        <v>1</v>
      </c>
      <c r="C19" s="1">
        <v>30</v>
      </c>
      <c r="D19" s="1"/>
      <c r="E19" s="1"/>
      <c r="F19" s="1"/>
      <c r="G19">
        <f t="shared" si="0"/>
        <v>30</v>
      </c>
      <c r="H19" s="3"/>
    </row>
    <row r="20" spans="1:8" x14ac:dyDescent="0.35">
      <c r="A20" s="1"/>
      <c r="B20" s="1"/>
      <c r="C20" s="1"/>
      <c r="D20" s="1"/>
      <c r="E20" s="1"/>
      <c r="F20" s="1"/>
      <c r="G20">
        <f t="shared" si="0"/>
        <v>0</v>
      </c>
      <c r="H20" s="3"/>
    </row>
    <row r="21" spans="1:8" x14ac:dyDescent="0.35">
      <c r="A21" s="1" t="s">
        <v>13</v>
      </c>
      <c r="B21" s="1">
        <v>1</v>
      </c>
      <c r="C21" s="1">
        <v>30</v>
      </c>
      <c r="D21" s="1"/>
      <c r="E21" s="1"/>
      <c r="F21" s="1"/>
      <c r="G21">
        <f t="shared" si="0"/>
        <v>30</v>
      </c>
      <c r="H21" s="3"/>
    </row>
    <row r="22" spans="1:8" x14ac:dyDescent="0.35">
      <c r="A22" s="10" t="s">
        <v>241</v>
      </c>
      <c r="B22" s="1">
        <v>1</v>
      </c>
      <c r="C22" s="1">
        <v>10</v>
      </c>
      <c r="D22" s="1"/>
      <c r="E22" s="1"/>
      <c r="F22" s="1"/>
      <c r="G22">
        <f t="shared" si="0"/>
        <v>10</v>
      </c>
      <c r="H22" s="1"/>
    </row>
    <row r="23" spans="1:8" x14ac:dyDescent="0.35">
      <c r="A23" s="1"/>
      <c r="B23" s="1"/>
      <c r="C23" s="1"/>
      <c r="D23" s="1"/>
      <c r="E23" s="1"/>
      <c r="F23" s="1"/>
      <c r="G23">
        <f t="shared" si="0"/>
        <v>0</v>
      </c>
      <c r="H23" s="1"/>
    </row>
    <row r="24" spans="1:8" x14ac:dyDescent="0.35">
      <c r="A24" s="1"/>
      <c r="B24" s="1"/>
      <c r="C24" s="1"/>
      <c r="D24" s="1"/>
      <c r="E24" s="1"/>
      <c r="F24" s="1"/>
      <c r="G24">
        <f t="shared" si="0"/>
        <v>0</v>
      </c>
      <c r="H24" s="1"/>
    </row>
    <row r="25" spans="1:8" x14ac:dyDescent="0.35">
      <c r="A25" s="10" t="s">
        <v>246</v>
      </c>
      <c r="B25" s="1">
        <v>1</v>
      </c>
      <c r="C25" s="1">
        <v>4</v>
      </c>
      <c r="D25" s="1"/>
      <c r="E25" s="1"/>
      <c r="F25" s="1"/>
      <c r="G25">
        <f t="shared" si="0"/>
        <v>4</v>
      </c>
      <c r="H25" s="1"/>
    </row>
    <row r="26" spans="1:8" x14ac:dyDescent="0.35">
      <c r="A26" s="10" t="s">
        <v>247</v>
      </c>
      <c r="B26" s="1">
        <v>1</v>
      </c>
      <c r="C26" s="1">
        <v>4</v>
      </c>
      <c r="D26" s="1"/>
      <c r="E26" s="1"/>
      <c r="F26" s="1"/>
      <c r="G26">
        <f t="shared" si="0"/>
        <v>4</v>
      </c>
      <c r="H26" s="1"/>
    </row>
    <row r="27" spans="1:8" x14ac:dyDescent="0.35">
      <c r="A27" s="14" t="s">
        <v>248</v>
      </c>
      <c r="B27" s="1">
        <v>1</v>
      </c>
      <c r="C27" s="1">
        <v>4</v>
      </c>
      <c r="D27" s="1"/>
      <c r="E27" s="1"/>
      <c r="F27" s="1"/>
      <c r="G27">
        <f t="shared" si="0"/>
        <v>4</v>
      </c>
      <c r="H27" s="1"/>
    </row>
    <row r="28" spans="1:8" x14ac:dyDescent="0.35">
      <c r="A28" s="14" t="s">
        <v>249</v>
      </c>
      <c r="B28" s="1">
        <v>1</v>
      </c>
      <c r="C28" s="1">
        <v>4</v>
      </c>
      <c r="D28" s="1"/>
      <c r="E28" s="1"/>
      <c r="F28" s="1"/>
      <c r="G28">
        <f t="shared" si="0"/>
        <v>4</v>
      </c>
      <c r="H28" s="1"/>
    </row>
    <row r="29" spans="1:8" x14ac:dyDescent="0.35">
      <c r="A29" s="14" t="s">
        <v>250</v>
      </c>
      <c r="B29" s="1">
        <v>1</v>
      </c>
      <c r="C29" s="1">
        <v>4</v>
      </c>
      <c r="D29" s="1"/>
      <c r="E29" s="1"/>
      <c r="F29" s="1"/>
      <c r="G29">
        <f t="shared" si="0"/>
        <v>4</v>
      </c>
      <c r="H29" s="1"/>
    </row>
    <row r="30" spans="1:8" x14ac:dyDescent="0.35">
      <c r="A30" s="11"/>
      <c r="B30" s="1"/>
      <c r="C30" s="1"/>
      <c r="D30" s="1"/>
      <c r="E30" s="1"/>
      <c r="F30" s="1"/>
      <c r="G30">
        <f t="shared" si="0"/>
        <v>0</v>
      </c>
      <c r="H30" s="1"/>
    </row>
    <row r="31" spans="1:8" x14ac:dyDescent="0.35">
      <c r="A31" s="11"/>
      <c r="B31" s="1"/>
      <c r="C31" s="1"/>
      <c r="D31" s="1"/>
      <c r="E31" s="1"/>
      <c r="F31" s="1"/>
      <c r="G31">
        <f t="shared" si="0"/>
        <v>0</v>
      </c>
      <c r="H31" s="1"/>
    </row>
    <row r="32" spans="1:8" x14ac:dyDescent="0.35">
      <c r="A32" s="11"/>
      <c r="B32" s="1"/>
      <c r="C32" s="1"/>
      <c r="D32" s="1"/>
      <c r="E32" s="1"/>
      <c r="F32" s="1"/>
      <c r="G32">
        <f t="shared" si="0"/>
        <v>0</v>
      </c>
      <c r="H32" s="1"/>
    </row>
    <row r="33" spans="1:8" x14ac:dyDescent="0.35">
      <c r="A33" s="11"/>
      <c r="B33" s="1"/>
      <c r="C33" s="1"/>
      <c r="D33" s="1"/>
      <c r="E33" s="1"/>
      <c r="F33" s="1"/>
      <c r="G33">
        <f t="shared" si="0"/>
        <v>0</v>
      </c>
      <c r="H33" s="1"/>
    </row>
    <row r="34" spans="1:8" x14ac:dyDescent="0.35">
      <c r="A34" s="11"/>
      <c r="B34" s="1"/>
      <c r="C34" s="1"/>
      <c r="D34" s="1"/>
      <c r="E34" s="1"/>
      <c r="F34" s="1"/>
      <c r="G34">
        <f t="shared" si="0"/>
        <v>0</v>
      </c>
      <c r="H34" s="1"/>
    </row>
    <row r="35" spans="1:8" x14ac:dyDescent="0.35">
      <c r="A35" s="11"/>
      <c r="B35" s="1"/>
      <c r="C35" s="1"/>
      <c r="D35" s="1"/>
      <c r="E35" s="1"/>
      <c r="F35" s="1"/>
      <c r="H35" s="1"/>
    </row>
    <row r="36" spans="1:8" x14ac:dyDescent="0.35">
      <c r="A36" s="1"/>
      <c r="B36" s="1"/>
      <c r="C36" s="1"/>
      <c r="D36" s="1"/>
      <c r="E36" s="1"/>
      <c r="F36" s="1"/>
      <c r="H36" s="1"/>
    </row>
    <row r="37" spans="1:8" x14ac:dyDescent="0.35">
      <c r="A37" s="2" t="s">
        <v>21</v>
      </c>
      <c r="B37" s="2"/>
      <c r="C37" s="1"/>
      <c r="D37" s="1"/>
      <c r="E37" s="1"/>
      <c r="F37" s="1"/>
      <c r="G37" s="1">
        <f>SUM(G2:G34)</f>
        <v>208</v>
      </c>
      <c r="H37" s="1">
        <f>SUM(H2:H9)</f>
        <v>0</v>
      </c>
    </row>
    <row r="38" spans="1:8" x14ac:dyDescent="0.35">
      <c r="A38" s="2"/>
      <c r="B38" s="2"/>
      <c r="C38" s="1"/>
      <c r="D38" s="1"/>
      <c r="E38" s="1"/>
      <c r="F38" s="1"/>
      <c r="G38" s="1"/>
      <c r="H38" s="1"/>
    </row>
    <row r="39" spans="1:8" x14ac:dyDescent="0.35">
      <c r="A39" s="2" t="s">
        <v>19</v>
      </c>
      <c r="B39" s="2"/>
      <c r="C39" s="1"/>
      <c r="D39" s="1"/>
      <c r="E39" s="1"/>
      <c r="F39" s="1"/>
      <c r="G39" s="1"/>
      <c r="H39" s="1"/>
    </row>
    <row r="40" spans="1:8" x14ac:dyDescent="0.35">
      <c r="A40" s="1" t="s">
        <v>237</v>
      </c>
      <c r="B40" s="1">
        <v>1</v>
      </c>
      <c r="C40" s="1">
        <v>30</v>
      </c>
      <c r="D40" s="1"/>
      <c r="E40" s="1"/>
      <c r="F40" s="1"/>
      <c r="G40" s="1">
        <f>SUM(C40:F40)</f>
        <v>30</v>
      </c>
      <c r="H40" s="3"/>
    </row>
    <row r="41" spans="1:8" x14ac:dyDescent="0.35">
      <c r="A41" s="1" t="s">
        <v>244</v>
      </c>
      <c r="B41" s="1">
        <v>1</v>
      </c>
      <c r="C41" s="1">
        <v>30</v>
      </c>
      <c r="D41" s="1"/>
      <c r="E41" s="1"/>
      <c r="F41" s="1"/>
      <c r="G41" s="1">
        <f t="shared" ref="G41:G45" si="1">SUM(C41:F41)</f>
        <v>30</v>
      </c>
      <c r="H41" s="3"/>
    </row>
    <row r="42" spans="1:8" x14ac:dyDescent="0.35">
      <c r="A42" s="1" t="s">
        <v>245</v>
      </c>
      <c r="B42" s="1">
        <v>1</v>
      </c>
      <c r="C42" s="1">
        <v>16</v>
      </c>
      <c r="D42" s="1"/>
      <c r="E42" s="1"/>
      <c r="F42" s="1"/>
      <c r="G42" s="1">
        <f t="shared" si="1"/>
        <v>16</v>
      </c>
      <c r="H42" s="3"/>
    </row>
    <row r="43" spans="1:8" x14ac:dyDescent="0.35">
      <c r="A43" s="11" t="s">
        <v>251</v>
      </c>
      <c r="B43" s="1">
        <v>1</v>
      </c>
      <c r="C43" s="1">
        <v>16</v>
      </c>
      <c r="D43" s="1"/>
      <c r="E43" s="1"/>
      <c r="F43" s="1"/>
      <c r="G43" s="1">
        <f t="shared" si="1"/>
        <v>16</v>
      </c>
      <c r="H43" s="3"/>
    </row>
    <row r="44" spans="1:8" x14ac:dyDescent="0.35">
      <c r="A44" s="11" t="s">
        <v>252</v>
      </c>
      <c r="B44" s="1">
        <v>1</v>
      </c>
      <c r="C44" s="1">
        <v>10</v>
      </c>
      <c r="D44" s="1"/>
      <c r="E44" s="1"/>
      <c r="F44" s="1"/>
      <c r="G44" s="1">
        <f t="shared" ref="G44" si="2">SUM(C44:F44)</f>
        <v>10</v>
      </c>
      <c r="H44" s="3"/>
    </row>
    <row r="45" spans="1:8" x14ac:dyDescent="0.35">
      <c r="A45" s="11" t="s">
        <v>253</v>
      </c>
      <c r="B45" s="1">
        <v>1</v>
      </c>
      <c r="C45" s="1">
        <v>10</v>
      </c>
      <c r="D45" s="1"/>
      <c r="E45" s="1"/>
      <c r="F45" s="1"/>
      <c r="G45" s="1">
        <f t="shared" si="1"/>
        <v>10</v>
      </c>
      <c r="H45" s="3"/>
    </row>
    <row r="46" spans="1:8" x14ac:dyDescent="0.35">
      <c r="A46" s="1" t="s">
        <v>230</v>
      </c>
      <c r="B46" s="1">
        <v>1</v>
      </c>
      <c r="C46" s="1">
        <v>16</v>
      </c>
      <c r="D46" s="1"/>
      <c r="E46" s="1"/>
      <c r="F46" s="1"/>
      <c r="G46" s="1">
        <f>SUM(C46:F46)</f>
        <v>16</v>
      </c>
      <c r="H46" s="3"/>
    </row>
    <row r="47" spans="1:8" x14ac:dyDescent="0.35">
      <c r="A47" s="1" t="s">
        <v>231</v>
      </c>
      <c r="B47" s="1">
        <v>1</v>
      </c>
      <c r="C47" s="1">
        <v>16</v>
      </c>
      <c r="D47" s="1"/>
      <c r="E47" s="1"/>
      <c r="F47" s="1"/>
      <c r="G47" s="1">
        <f>SUM(C47:F47)</f>
        <v>16</v>
      </c>
      <c r="H47" s="3"/>
    </row>
    <row r="48" spans="1:8" x14ac:dyDescent="0.35">
      <c r="A48" s="1" t="s">
        <v>232</v>
      </c>
      <c r="B48" s="1">
        <v>1</v>
      </c>
      <c r="C48" s="1">
        <v>10</v>
      </c>
      <c r="D48" s="1"/>
      <c r="E48" s="1"/>
      <c r="F48" s="1"/>
      <c r="G48" s="1">
        <f>SUM(C48:F48)</f>
        <v>10</v>
      </c>
      <c r="H48" s="1"/>
    </row>
    <row r="49" spans="1:8" x14ac:dyDescent="0.35">
      <c r="A49" s="1" t="s">
        <v>238</v>
      </c>
      <c r="B49" s="1">
        <v>1</v>
      </c>
      <c r="C49" s="1">
        <v>30</v>
      </c>
      <c r="D49" s="1"/>
      <c r="E49" s="1"/>
      <c r="F49" s="1"/>
      <c r="G49" s="1">
        <f>SUM(C49:F49)</f>
        <v>30</v>
      </c>
      <c r="H49" s="1"/>
    </row>
    <row r="50" spans="1:8" x14ac:dyDescent="0.35">
      <c r="A50" s="1" t="s">
        <v>240</v>
      </c>
      <c r="B50" s="1">
        <v>1</v>
      </c>
      <c r="C50" s="1">
        <v>16</v>
      </c>
      <c r="D50" s="1"/>
      <c r="E50" s="1"/>
      <c r="F50" s="1"/>
      <c r="G50" s="1">
        <f>SUM(C50:F50)</f>
        <v>16</v>
      </c>
      <c r="H50" s="1"/>
    </row>
    <row r="51" spans="1:8" x14ac:dyDescent="0.35">
      <c r="A51" s="2" t="s">
        <v>3</v>
      </c>
      <c r="B51" s="2"/>
      <c r="C51" s="1"/>
      <c r="D51" s="1"/>
      <c r="E51" s="1"/>
      <c r="F51" s="1"/>
      <c r="G51" s="1">
        <f>SUM(G40:G50)</f>
        <v>200</v>
      </c>
      <c r="H51" s="1">
        <f>SUM(H40:H50)</f>
        <v>0</v>
      </c>
    </row>
    <row r="52" spans="1:8" x14ac:dyDescent="0.35">
      <c r="A52" s="2" t="s">
        <v>1</v>
      </c>
      <c r="B52" s="2"/>
      <c r="C52" s="1"/>
      <c r="D52" s="1"/>
      <c r="E52" s="1"/>
      <c r="F52" s="1"/>
      <c r="G52" s="1">
        <f>G37+G51</f>
        <v>408</v>
      </c>
      <c r="H52" s="1">
        <f>H37+H51</f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Vampires</vt:lpstr>
      <vt:lpstr>Vampires (2)</vt:lpstr>
      <vt:lpstr>Vampires (1)</vt:lpstr>
      <vt:lpstr>FebContent(Knights)</vt:lpstr>
      <vt:lpstr>FebTimeTracker</vt:lpstr>
      <vt:lpstr>MarchContent(Desert)</vt:lpstr>
      <vt:lpstr>MayContent(FelDwarves)</vt:lpstr>
      <vt:lpstr>AugustContent(EmpireSoldiers)</vt:lpstr>
      <vt:lpstr>OctoberContent(UndeadMinions)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 Snouwaert</dc:creator>
  <cp:lastModifiedBy>Hank Snouwaert</cp:lastModifiedBy>
  <dcterms:created xsi:type="dcterms:W3CDTF">2026-02-01T21:55:49Z</dcterms:created>
  <dcterms:modified xsi:type="dcterms:W3CDTF">2026-10-03T01:55:00Z</dcterms:modified>
</cp:coreProperties>
</file>